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2fb2b9b70448671/Documents/university/postgraduate/thesis/"/>
    </mc:Choice>
  </mc:AlternateContent>
  <xr:revisionPtr revIDLastSave="4263" documentId="11_AD4DCBB4A06381AAC71CFC2C5E14C1E0683EDF36" xr6:coauthVersionLast="47" xr6:coauthVersionMax="47" xr10:uidLastSave="{001A3BD4-F0BC-4C87-B7D8-412B9CDEB141}"/>
  <bookViews>
    <workbookView xWindow="-108" yWindow="-108" windowWidth="30936" windowHeight="17496" activeTab="1" xr2:uid="{00000000-000D-0000-FFFF-FFFF00000000}"/>
  </bookViews>
  <sheets>
    <sheet name="Data" sheetId="1" r:id="rId1"/>
    <sheet name="Rank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2" l="1"/>
  <c r="E48" i="2"/>
  <c r="C48" i="2"/>
  <c r="E47" i="2"/>
  <c r="D47" i="2"/>
  <c r="C47" i="2"/>
  <c r="E38" i="2"/>
  <c r="D38" i="2"/>
  <c r="C38" i="2"/>
  <c r="E37" i="2"/>
  <c r="D37" i="2"/>
  <c r="C37" i="2"/>
  <c r="E30" i="2"/>
  <c r="D30" i="2"/>
  <c r="C30" i="2"/>
  <c r="E29" i="2"/>
  <c r="D29" i="2"/>
  <c r="C29" i="2"/>
  <c r="E22" i="2"/>
  <c r="D22" i="2"/>
  <c r="C22" i="2"/>
  <c r="E21" i="2"/>
  <c r="D21" i="2"/>
  <c r="C21" i="2"/>
  <c r="E14" i="2"/>
  <c r="D14" i="2"/>
  <c r="C14" i="2"/>
  <c r="E13" i="2"/>
  <c r="D13" i="2"/>
  <c r="C13" i="2"/>
  <c r="D5" i="2"/>
  <c r="C51" i="2" s="1"/>
  <c r="E5" i="2"/>
  <c r="C5" i="2"/>
  <c r="D6" i="2"/>
  <c r="E6" i="2"/>
  <c r="C6" i="2"/>
  <c r="D52" i="2" l="1"/>
  <c r="C52" i="2"/>
  <c r="B52" i="2"/>
  <c r="D51" i="2"/>
  <c r="B51" i="2"/>
</calcChain>
</file>

<file path=xl/sharedStrings.xml><?xml version="1.0" encoding="utf-8"?>
<sst xmlns="http://schemas.openxmlformats.org/spreadsheetml/2006/main" count="987" uniqueCount="41">
  <si>
    <t>app_displayed_ms</t>
  </si>
  <si>
    <t>avg_benchmark_ms</t>
  </si>
  <si>
    <t>peak_cpu_usage_perc</t>
  </si>
  <si>
    <t>native:accelerometer</t>
  </si>
  <si>
    <t>benchmark</t>
  </si>
  <si>
    <t>flutter:accelerometer</t>
  </si>
  <si>
    <t>baselineRAM_mb</t>
  </si>
  <si>
    <t>native:image</t>
  </si>
  <si>
    <t>native:light</t>
  </si>
  <si>
    <t>native:math</t>
  </si>
  <si>
    <t>flutter:image</t>
  </si>
  <si>
    <t>flutter:contacts</t>
  </si>
  <si>
    <t>flutter:light</t>
  </si>
  <si>
    <t>flutter:math</t>
  </si>
  <si>
    <t>kmp:accelerometer</t>
  </si>
  <si>
    <t>kmp:image</t>
  </si>
  <si>
    <t>kmp:contacts</t>
  </si>
  <si>
    <t>kmp:light</t>
  </si>
  <si>
    <t>kmp:math</t>
  </si>
  <si>
    <t>Native</t>
  </si>
  <si>
    <t>Flutter</t>
  </si>
  <si>
    <t>KMP</t>
  </si>
  <si>
    <t>framework</t>
  </si>
  <si>
    <t>benchmarkRAM_mb</t>
  </si>
  <si>
    <t>native:contacts</t>
  </si>
  <si>
    <t>Accelerometer</t>
  </si>
  <si>
    <t>Effect size (ω2)</t>
  </si>
  <si>
    <t>Benchmark RAM</t>
  </si>
  <si>
    <t>Total</t>
  </si>
  <si>
    <t>Total Weighted</t>
  </si>
  <si>
    <t>-</t>
  </si>
  <si>
    <t>Image Retrieval</t>
  </si>
  <si>
    <t>Contact Creation</t>
  </si>
  <si>
    <t>Light sensor</t>
  </si>
  <si>
    <t>Math calculation</t>
  </si>
  <si>
    <t>Overview of all metrics</t>
  </si>
  <si>
    <t>Time to Initial Display</t>
  </si>
  <si>
    <t>Time to Complete</t>
  </si>
  <si>
    <t>CPU usage</t>
  </si>
  <si>
    <t>Baseline RAM</t>
  </si>
  <si>
    <t>Final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</si>
</sst>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000"/>
    <numFmt numFmtId="165" formatCode="0.0000000000000"/>
    <numFmt numFmtId="166" formatCode="0.000000"/>
    <numFmt numFmtId="167" formatCode="0.0000000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1" fontId="0" fillId="2" borderId="1" xfId="0" applyNumberFormat="1" applyFill="1" applyBorder="1"/>
    <xf numFmtId="165" fontId="0" fillId="2" borderId="1" xfId="0" applyNumberFormat="1" applyFill="1" applyBorder="1"/>
    <xf numFmtId="164" fontId="0" fillId="2" borderId="1" xfId="0" applyNumberFormat="1" applyFill="1" applyBorder="1"/>
    <xf numFmtId="166" fontId="0" fillId="2" borderId="1" xfId="0" applyNumberFormat="1" applyFill="1" applyBorder="1"/>
    <xf numFmtId="1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/>
    <xf numFmtId="166" fontId="0" fillId="0" borderId="1" xfId="0" applyNumberFormat="1" applyBorder="1"/>
    <xf numFmtId="167" fontId="0" fillId="0" borderId="0" xfId="0" applyNumberFormat="1"/>
    <xf numFmtId="167" fontId="0" fillId="2" borderId="2" xfId="0" applyNumberFormat="1" applyFill="1" applyBorder="1"/>
    <xf numFmtId="167" fontId="0" fillId="0" borderId="2" xfId="0" applyNumberFormat="1" applyBorder="1"/>
    <xf numFmtId="49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top"/>
    </xf>
  </cellXfs>
  <cellStyles count="2">
    <cellStyle name="Comma" xfId="1" builtinId="3"/>
    <cellStyle name="Normal" xfId="0" builtinId="0"/>
  </cellStyles>
  <dxfs count="51">
    <dxf>
      <numFmt numFmtId="167" formatCode="0.00000000000000"/>
    </dxf>
    <dxf>
      <numFmt numFmtId="166" formatCode="0.000000"/>
    </dxf>
    <dxf>
      <numFmt numFmtId="164" formatCode="0.0000000"/>
    </dxf>
    <dxf>
      <numFmt numFmtId="165" formatCode="0.000000000000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BD8D7E-0455-4CB9-A837-FFA9CD08CDA8}" name="Table1" displayName="Table1" ref="A1:G451" totalsRowShown="0" headerRowDxfId="8" dataDxfId="7">
  <autoFilter ref="A1:G451" xr:uid="{A7BD8D7E-0455-4CB9-A837-FFA9CD08CDA8}"/>
  <tableColumns count="7">
    <tableColumn id="7" xr3:uid="{12CA93DE-08A4-447E-BC0F-31076C9064EF}" name="framework" dataDxfId="6"/>
    <tableColumn id="5" xr3:uid="{4A967661-FFF1-4ED3-8554-0EB81D4CBE24}" name="benchmark" dataDxfId="5"/>
    <tableColumn id="1" xr3:uid="{14D60E5F-9B20-41EC-9751-FFEC4205E40E}" name="app_displayed_ms" dataDxfId="4"/>
    <tableColumn id="2" xr3:uid="{BDBB211F-B9BA-4A1F-8FD9-19C82B8490F5}" name="avg_benchmark_ms" dataDxfId="3"/>
    <tableColumn id="3" xr3:uid="{A6649D2C-D1BF-4F84-AC10-F1B577AD3ECD}" name="peak_cpu_usage_perc" dataDxfId="2"/>
    <tableColumn id="4" xr3:uid="{91EAE2B2-5B96-444E-BD1E-748E88F4028A}" name="baselineRAM_mb" dataDxfId="1" dataCellStyle="Comma"/>
    <tableColumn id="6" xr3:uid="{83926CE2-35FA-451B-AC60-62594FEA13AE}" name="benchmarkRAM_mb" dataDxfId="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85CB07-1292-431E-85A4-D7E456220E7B}" name="Table2" displayName="Table2" ref="A1:E6" totalsRowShown="0" headerRowDxfId="50" dataDxfId="49">
  <autoFilter ref="A1:E6" xr:uid="{2385CB07-1292-431E-85A4-D7E456220E7B}"/>
  <tableColumns count="5">
    <tableColumn id="1" xr3:uid="{532A44BA-1BBA-47A2-9886-4D22AB6AB84A}" name="Accelerometer" dataDxfId="48"/>
    <tableColumn id="5" xr3:uid="{7891F83B-2CDB-4EED-BCA7-FD28E51B47A6}" name="Effect size (ω2)" dataDxfId="47"/>
    <tableColumn id="2" xr3:uid="{9EFC82A8-3AEC-4674-86E7-9C1F0B845672}" name="Native" dataDxfId="46"/>
    <tableColumn id="3" xr3:uid="{1CC74A66-8AFB-4CFB-9501-BDF895EC97E2}" name="Flutter" dataDxfId="45"/>
    <tableColumn id="4" xr3:uid="{2A535503-F6F2-48FB-816C-156D1A627BBE}" name="KMP" dataDxfId="44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618C92-6432-488A-B3AD-6D783B2F2E30}" name="Table24" displayName="Table24" ref="A9:E14" totalsRowShown="0" headerRowDxfId="43" dataDxfId="42">
  <autoFilter ref="A9:E14" xr:uid="{B5618C92-6432-488A-B3AD-6D783B2F2E30}"/>
  <tableColumns count="5">
    <tableColumn id="1" xr3:uid="{52550314-86E6-4369-9769-84091D68A231}" name="Image Retrieval" dataDxfId="41"/>
    <tableColumn id="5" xr3:uid="{1CB7DEA2-445E-46C4-98CA-52642381FB0B}" name="Effect size (ω2)" dataDxfId="40"/>
    <tableColumn id="2" xr3:uid="{6BF97312-0F35-45E3-ADC4-D36E41A8D91E}" name="Native" dataDxfId="39"/>
    <tableColumn id="3" xr3:uid="{FCE1BE05-4188-4154-9AF7-A886CF8D0D68}" name="Flutter" dataDxfId="38"/>
    <tableColumn id="4" xr3:uid="{3393B16B-2982-4EAB-B6A2-1B9B0AA54CAD}" name="KMP" dataDxfId="37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201C77-0059-44A6-A9B2-FA1628437F3A}" name="Table245" displayName="Table245" ref="A17:E22" totalsRowShown="0" headerRowDxfId="36" dataDxfId="35">
  <autoFilter ref="A17:E22" xr:uid="{0C201C77-0059-44A6-A9B2-FA1628437F3A}"/>
  <tableColumns count="5">
    <tableColumn id="1" xr3:uid="{0E26A5A4-FC92-4FC8-A605-A0282BDCCA2C}" name="Contact Creation" dataDxfId="34"/>
    <tableColumn id="5" xr3:uid="{B0694963-694B-4955-A73C-4A61B8D18FA1}" name="Effect size (ω2)" dataDxfId="33"/>
    <tableColumn id="2" xr3:uid="{1AC37F64-259E-4428-AE12-E1BBF05DA56F}" name="Native" dataDxfId="32"/>
    <tableColumn id="3" xr3:uid="{ADDA4A7D-FC12-40BC-92A8-64F4CDF03FB3}" name="Flutter" dataDxfId="31"/>
    <tableColumn id="4" xr3:uid="{E75B2A14-82AA-44E6-BA96-4DBCE41E0A7B}" name="KMP" dataDxfId="30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E25B6E-6CA4-42B3-9966-767261C730E5}" name="Table2456" displayName="Table2456" ref="A25:E30" totalsRowShown="0" headerRowDxfId="29" dataDxfId="28">
  <autoFilter ref="A25:E30" xr:uid="{0AE25B6E-6CA4-42B3-9966-767261C730E5}"/>
  <tableColumns count="5">
    <tableColumn id="1" xr3:uid="{B407B477-3AB8-4C64-AE08-17E9614F55ED}" name="Light sensor" dataDxfId="27"/>
    <tableColumn id="5" xr3:uid="{85D5258A-3EF6-4646-B677-650B932A59AF}" name="Effect size (ω2)" dataDxfId="26"/>
    <tableColumn id="2" xr3:uid="{E3E4F68F-894C-4EBE-9BD2-29A314562E72}" name="Native" dataDxfId="25"/>
    <tableColumn id="3" xr3:uid="{8B004603-98DD-4A63-A3A6-7EFB16A02F31}" name="Flutter" dataDxfId="24"/>
    <tableColumn id="4" xr3:uid="{54914677-349A-49E3-BDFF-D92090722B4E}" name="KMP" dataDxfId="23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A6F7FCA-3532-4D04-AA39-BE50888EFCC5}" name="Table24567" displayName="Table24567" ref="A33:E38" totalsRowShown="0" headerRowDxfId="22" dataDxfId="21">
  <autoFilter ref="A33:E38" xr:uid="{EA6F7FCA-3532-4D04-AA39-BE50888EFCC5}"/>
  <tableColumns count="5">
    <tableColumn id="1" xr3:uid="{49993F25-79A7-4249-9B42-3CD623C54467}" name="Math calculation" dataDxfId="20"/>
    <tableColumn id="5" xr3:uid="{ACFF479A-BCB5-4E00-BF36-FA39073A1F43}" name="Effect size (ω2)" dataDxfId="19"/>
    <tableColumn id="2" xr3:uid="{7DDE814E-87E5-40A3-B051-7183D695505D}" name="Native" dataDxfId="18"/>
    <tableColumn id="3" xr3:uid="{731D5C06-9F6A-4078-9418-D0FF76075ED8}" name="Flutter" dataDxfId="17"/>
    <tableColumn id="4" xr3:uid="{554C8700-161F-4B24-A17C-7D684F3D8217}" name="KMP" dataDxfId="16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430CCD-1D99-46E1-AAE1-EF59F79F25DC}" name="Table245678" displayName="Table245678" ref="A41:E48" totalsRowShown="0" headerRowDxfId="15" dataDxfId="14">
  <autoFilter ref="A41:E48" xr:uid="{9D430CCD-1D99-46E1-AAE1-EF59F79F25DC}"/>
  <tableColumns count="5">
    <tableColumn id="1" xr3:uid="{995D4EEC-9023-4B7D-A7A5-D2EF23FC8B06}" name="Overview of all metrics" dataDxfId="13"/>
    <tableColumn id="5" xr3:uid="{3711112C-E37F-45CC-B633-53AC5A6D5451}" name="Effect size (ω2)" dataDxfId="12"/>
    <tableColumn id="2" xr3:uid="{E0E3D9CA-E00C-473C-B5D5-382E9C9FD50F}" name="Native" dataDxfId="11"/>
    <tableColumn id="3" xr3:uid="{1BA53C3D-2F8B-4FED-A0F7-6C2C171FD70A}" name="Flutter" dataDxfId="10"/>
    <tableColumn id="4" xr3:uid="{E1435ED3-EB20-4C4F-A6D0-D21E01C3429E}" name="KMP" dataDxfId="9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564467-F322-4D9D-AE07-88B200E424BE}" name="Table8" displayName="Table8" ref="A50:D52" totalsRowShown="0">
  <autoFilter ref="A50:D52" xr:uid="{D4564467-F322-4D9D-AE07-88B200E424BE}"/>
  <tableColumns count="4">
    <tableColumn id="1" xr3:uid="{9B9E2B80-5037-454D-8B3F-F7F1A7ED168E}" name="Final Score"/>
    <tableColumn id="2" xr3:uid="{0E06B226-3096-4643-B076-D7914F2CC0EC}" name="Native">
      <calculatedColumnFormula>C5+C13+C21+C29+C37+C47</calculatedColumnFormula>
    </tableColumn>
    <tableColumn id="3" xr3:uid="{C5C0F16E-0329-49D7-B682-CAC22DEC9D9F}" name="Flutter">
      <calculatedColumnFormula>D5+D13+D21+D29+D37+D47</calculatedColumnFormula>
    </tableColumn>
    <tableColumn id="4" xr3:uid="{27861E1B-8DF5-4DCA-B6AC-CA7EFDC9E1C3}" name="KMP">
      <calculatedColumnFormula>E5+E13+E21+E29+E37+E47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1"/>
  <sheetViews>
    <sheetView zoomScale="115" zoomScaleNormal="115" workbookViewId="0">
      <selection activeCell="C6" sqref="C6"/>
    </sheetView>
  </sheetViews>
  <sheetFormatPr defaultRowHeight="14.4" x14ac:dyDescent="0.3"/>
  <cols>
    <col min="1" max="1" width="15.109375" style="16" customWidth="1"/>
    <col min="2" max="2" width="19.44140625" customWidth="1"/>
    <col min="3" max="3" width="18.33203125" style="1" customWidth="1"/>
    <col min="4" max="4" width="19.44140625" style="3" customWidth="1"/>
    <col min="5" max="5" width="21.33203125" style="2" customWidth="1"/>
    <col min="6" max="6" width="19.88671875" style="4" customWidth="1"/>
    <col min="7" max="7" width="26.33203125" style="13" customWidth="1"/>
  </cols>
  <sheetData>
    <row r="1" spans="1:7" x14ac:dyDescent="0.3">
      <c r="A1" s="16" t="s">
        <v>22</v>
      </c>
      <c r="B1" s="1" t="s">
        <v>4</v>
      </c>
      <c r="C1" s="1" t="s">
        <v>0</v>
      </c>
      <c r="D1" s="3" t="s">
        <v>1</v>
      </c>
      <c r="E1" s="2" t="s">
        <v>2</v>
      </c>
      <c r="F1" s="4" t="s">
        <v>6</v>
      </c>
      <c r="G1" s="13" t="s">
        <v>23</v>
      </c>
    </row>
    <row r="2" spans="1:7" x14ac:dyDescent="0.3">
      <c r="A2" s="16" t="s">
        <v>19</v>
      </c>
      <c r="B2" s="1" t="s">
        <v>3</v>
      </c>
      <c r="C2" s="1">
        <v>139</v>
      </c>
      <c r="D2" s="3">
        <v>5.8972603666666661</v>
      </c>
      <c r="E2" s="2">
        <v>9.4968438000000006</v>
      </c>
      <c r="F2" s="4">
        <v>48.414720000000003</v>
      </c>
      <c r="G2" s="13">
        <v>1.4417919999999995</v>
      </c>
    </row>
    <row r="3" spans="1:7" x14ac:dyDescent="0.3">
      <c r="A3" s="16" t="s">
        <v>19</v>
      </c>
      <c r="B3" s="1" t="s">
        <v>3</v>
      </c>
      <c r="C3" s="1">
        <v>169</v>
      </c>
      <c r="D3" s="3">
        <v>6.2936641</v>
      </c>
      <c r="E3" s="2">
        <v>10.404477200000001</v>
      </c>
      <c r="F3" s="4">
        <v>48.881664000000001</v>
      </c>
      <c r="G3" s="13">
        <v>0.97894399999999848</v>
      </c>
    </row>
    <row r="4" spans="1:7" x14ac:dyDescent="0.3">
      <c r="A4" s="16" t="s">
        <v>19</v>
      </c>
      <c r="B4" s="1" t="s">
        <v>3</v>
      </c>
      <c r="C4" s="1">
        <v>144</v>
      </c>
      <c r="D4" s="3">
        <v>6.2163842000000002</v>
      </c>
      <c r="E4" s="2">
        <v>11.1004766</v>
      </c>
      <c r="F4" s="4">
        <v>48.357376000000002</v>
      </c>
      <c r="G4" s="13">
        <v>1.499136</v>
      </c>
    </row>
    <row r="5" spans="1:7" x14ac:dyDescent="0.3">
      <c r="A5" s="16" t="s">
        <v>19</v>
      </c>
      <c r="B5" s="1" t="s">
        <v>3</v>
      </c>
      <c r="C5" s="1">
        <v>152</v>
      </c>
      <c r="D5" s="3">
        <v>5.7498828333333334</v>
      </c>
      <c r="E5" s="2">
        <v>9.3531245999999992</v>
      </c>
      <c r="F5" s="4">
        <v>48.246783999999998</v>
      </c>
      <c r="G5" s="13">
        <v>1.6711680000000015</v>
      </c>
    </row>
    <row r="6" spans="1:7" x14ac:dyDescent="0.3">
      <c r="A6" s="16" t="s">
        <v>19</v>
      </c>
      <c r="B6" s="1" t="s">
        <v>3</v>
      </c>
      <c r="C6" s="1">
        <v>135</v>
      </c>
      <c r="D6" s="3">
        <v>6.0647499333333332</v>
      </c>
      <c r="E6" s="2">
        <v>10.1757726</v>
      </c>
      <c r="F6" s="4">
        <v>48.271360000000001</v>
      </c>
      <c r="G6" s="13">
        <v>1.7080319999999958</v>
      </c>
    </row>
    <row r="7" spans="1:7" x14ac:dyDescent="0.3">
      <c r="A7" s="16" t="s">
        <v>19</v>
      </c>
      <c r="B7" s="1" t="s">
        <v>3</v>
      </c>
      <c r="C7" s="1">
        <v>138</v>
      </c>
      <c r="D7" s="3">
        <v>5.8289036666666671</v>
      </c>
      <c r="E7" s="2">
        <v>9.1219859999999997</v>
      </c>
      <c r="F7" s="4">
        <v>48.271360000000001</v>
      </c>
      <c r="G7" s="13">
        <v>1.7530879999999982</v>
      </c>
    </row>
    <row r="8" spans="1:7" x14ac:dyDescent="0.3">
      <c r="A8" s="16" t="s">
        <v>19</v>
      </c>
      <c r="B8" s="1" t="s">
        <v>3</v>
      </c>
      <c r="C8" s="1">
        <v>139</v>
      </c>
      <c r="D8" s="3">
        <v>6.3676875333333331</v>
      </c>
      <c r="E8" s="2">
        <v>10.800256600000001</v>
      </c>
      <c r="F8" s="4">
        <v>48.332799999999999</v>
      </c>
      <c r="G8" s="13">
        <v>1.5278080000000003</v>
      </c>
    </row>
    <row r="9" spans="1:7" x14ac:dyDescent="0.3">
      <c r="A9" s="16" t="s">
        <v>19</v>
      </c>
      <c r="B9" s="1" t="s">
        <v>3</v>
      </c>
      <c r="C9" s="1">
        <v>136</v>
      </c>
      <c r="D9" s="3">
        <v>5.6731328333333328</v>
      </c>
      <c r="E9" s="2">
        <v>10.1888594</v>
      </c>
      <c r="F9" s="4">
        <v>48.263168</v>
      </c>
      <c r="G9" s="13">
        <v>1.732607999999999</v>
      </c>
    </row>
    <row r="10" spans="1:7" x14ac:dyDescent="0.3">
      <c r="A10" s="16" t="s">
        <v>19</v>
      </c>
      <c r="B10" s="1" t="s">
        <v>3</v>
      </c>
      <c r="C10" s="1">
        <v>144</v>
      </c>
      <c r="D10" s="3">
        <v>5.8479597000000005</v>
      </c>
      <c r="E10" s="2">
        <v>10.0059214</v>
      </c>
      <c r="F10" s="4">
        <v>48.898048000000003</v>
      </c>
      <c r="G10" s="13">
        <v>0.57343999999999795</v>
      </c>
    </row>
    <row r="11" spans="1:7" x14ac:dyDescent="0.3">
      <c r="A11" s="16" t="s">
        <v>19</v>
      </c>
      <c r="B11" s="1" t="s">
        <v>3</v>
      </c>
      <c r="C11" s="1">
        <v>137</v>
      </c>
      <c r="D11" s="3">
        <v>6.4778841666666667</v>
      </c>
      <c r="E11" s="2">
        <v>10.030383</v>
      </c>
      <c r="F11" s="4">
        <v>48.242688000000001</v>
      </c>
      <c r="G11" s="13">
        <v>1.5646720000000016</v>
      </c>
    </row>
    <row r="12" spans="1:7" x14ac:dyDescent="0.3">
      <c r="A12" s="16" t="s">
        <v>19</v>
      </c>
      <c r="B12" s="1" t="s">
        <v>3</v>
      </c>
      <c r="C12" s="1">
        <v>149</v>
      </c>
      <c r="D12" s="3">
        <v>5.3993957999999997</v>
      </c>
      <c r="E12" s="2">
        <v>9.1583120000000005</v>
      </c>
      <c r="F12" s="4">
        <v>48.246783999999998</v>
      </c>
      <c r="G12" s="13">
        <v>1.4786560000000009</v>
      </c>
    </row>
    <row r="13" spans="1:7" x14ac:dyDescent="0.3">
      <c r="A13" s="16" t="s">
        <v>19</v>
      </c>
      <c r="B13" s="1" t="s">
        <v>3</v>
      </c>
      <c r="C13" s="1">
        <v>144</v>
      </c>
      <c r="D13" s="3">
        <v>6.0272148666666663</v>
      </c>
      <c r="E13" s="2">
        <v>10.0486004</v>
      </c>
      <c r="F13" s="4">
        <v>48.263168</v>
      </c>
      <c r="G13" s="13">
        <v>1.1263999999999967</v>
      </c>
    </row>
    <row r="14" spans="1:7" x14ac:dyDescent="0.3">
      <c r="A14" s="16" t="s">
        <v>19</v>
      </c>
      <c r="B14" s="1" t="s">
        <v>3</v>
      </c>
      <c r="C14" s="1">
        <v>145</v>
      </c>
      <c r="D14" s="3">
        <v>5.9338333666666658</v>
      </c>
      <c r="E14" s="2">
        <v>10.529797</v>
      </c>
      <c r="F14" s="4">
        <v>48.246783999999998</v>
      </c>
      <c r="G14" s="13">
        <v>1.7367040000000031</v>
      </c>
    </row>
    <row r="15" spans="1:7" x14ac:dyDescent="0.3">
      <c r="A15" s="16" t="s">
        <v>19</v>
      </c>
      <c r="B15" s="1" t="s">
        <v>3</v>
      </c>
      <c r="C15" s="1">
        <v>135</v>
      </c>
      <c r="D15" s="3">
        <v>5.6486837333333337</v>
      </c>
      <c r="E15" s="2">
        <v>9.8469460000000009</v>
      </c>
      <c r="F15" s="4">
        <v>48.242688000000001</v>
      </c>
      <c r="G15" s="13">
        <v>1.736703999999996</v>
      </c>
    </row>
    <row r="16" spans="1:7" x14ac:dyDescent="0.3">
      <c r="A16" s="16" t="s">
        <v>19</v>
      </c>
      <c r="B16" s="1" t="s">
        <v>3</v>
      </c>
      <c r="C16" s="1">
        <v>150</v>
      </c>
      <c r="D16" s="3">
        <v>6.0517589999999997</v>
      </c>
      <c r="E16" s="2">
        <v>9.7607575999999998</v>
      </c>
      <c r="F16" s="4">
        <v>48.328704000000002</v>
      </c>
      <c r="G16" s="13">
        <v>1.5114239999999981</v>
      </c>
    </row>
    <row r="17" spans="1:7" x14ac:dyDescent="0.3">
      <c r="A17" s="16" t="s">
        <v>19</v>
      </c>
      <c r="B17" s="1" t="s">
        <v>3</v>
      </c>
      <c r="C17" s="1">
        <v>164</v>
      </c>
      <c r="D17" s="3">
        <v>6.3365470333333329</v>
      </c>
      <c r="E17" s="2">
        <v>9.5758582000000008</v>
      </c>
      <c r="F17" s="4">
        <v>48.234496</v>
      </c>
      <c r="G17" s="13">
        <v>1.728512000000002</v>
      </c>
    </row>
    <row r="18" spans="1:7" x14ac:dyDescent="0.3">
      <c r="A18" s="16" t="s">
        <v>19</v>
      </c>
      <c r="B18" s="1" t="s">
        <v>3</v>
      </c>
      <c r="C18" s="1">
        <v>124</v>
      </c>
      <c r="D18" s="3">
        <v>5.9855546333333338</v>
      </c>
      <c r="E18" s="2">
        <v>8.871696</v>
      </c>
      <c r="F18" s="4">
        <v>48.418816</v>
      </c>
      <c r="G18" s="13">
        <v>1.5400959999999984</v>
      </c>
    </row>
    <row r="19" spans="1:7" x14ac:dyDescent="0.3">
      <c r="A19" s="16" t="s">
        <v>19</v>
      </c>
      <c r="B19" s="1" t="s">
        <v>3</v>
      </c>
      <c r="C19" s="1">
        <v>143</v>
      </c>
      <c r="D19" s="3">
        <v>5.7882695999999996</v>
      </c>
      <c r="E19" s="2">
        <v>8.8794073999999998</v>
      </c>
      <c r="F19" s="4">
        <v>48.390143999999999</v>
      </c>
      <c r="G19" s="13">
        <v>1.4540799999999976</v>
      </c>
    </row>
    <row r="20" spans="1:7" x14ac:dyDescent="0.3">
      <c r="A20" s="16" t="s">
        <v>19</v>
      </c>
      <c r="B20" s="1" t="s">
        <v>3</v>
      </c>
      <c r="C20" s="1">
        <v>142</v>
      </c>
      <c r="D20" s="3">
        <v>6.6528436666666666</v>
      </c>
      <c r="E20" s="2">
        <v>10.8676876</v>
      </c>
      <c r="F20" s="4">
        <v>48.254975999999999</v>
      </c>
      <c r="G20" s="13">
        <v>1.2001279999999994</v>
      </c>
    </row>
    <row r="21" spans="1:7" x14ac:dyDescent="0.3">
      <c r="A21" s="16" t="s">
        <v>19</v>
      </c>
      <c r="B21" s="1" t="s">
        <v>3</v>
      </c>
      <c r="C21" s="1">
        <v>131</v>
      </c>
      <c r="D21" s="3">
        <v>5.7400571666666673</v>
      </c>
      <c r="E21" s="2">
        <v>9.3532489999999999</v>
      </c>
      <c r="F21" s="4">
        <v>48.353279999999998</v>
      </c>
      <c r="G21" s="13">
        <v>1.7940480000000036</v>
      </c>
    </row>
    <row r="22" spans="1:7" x14ac:dyDescent="0.3">
      <c r="A22" s="16" t="s">
        <v>19</v>
      </c>
      <c r="B22" s="1" t="s">
        <v>3</v>
      </c>
      <c r="C22" s="1">
        <v>154</v>
      </c>
      <c r="D22" s="3">
        <v>5.9690559333333333</v>
      </c>
      <c r="E22" s="2">
        <v>10.6145852</v>
      </c>
      <c r="F22" s="4">
        <v>48.254975999999999</v>
      </c>
      <c r="G22" s="13">
        <v>1.5646720000000016</v>
      </c>
    </row>
    <row r="23" spans="1:7" x14ac:dyDescent="0.3">
      <c r="A23" s="16" t="s">
        <v>19</v>
      </c>
      <c r="B23" s="1" t="s">
        <v>3</v>
      </c>
      <c r="C23" s="1">
        <v>152</v>
      </c>
      <c r="D23" s="3">
        <v>5.9028517000000003</v>
      </c>
      <c r="E23" s="2">
        <v>9.8711804000000001</v>
      </c>
      <c r="F23" s="4">
        <v>48.238591999999997</v>
      </c>
      <c r="G23" s="13">
        <v>1.2574719999999999</v>
      </c>
    </row>
    <row r="24" spans="1:7" x14ac:dyDescent="0.3">
      <c r="A24" s="16" t="s">
        <v>19</v>
      </c>
      <c r="B24" s="1" t="s">
        <v>3</v>
      </c>
      <c r="C24" s="1">
        <v>139</v>
      </c>
      <c r="D24" s="3">
        <v>6.2271640666666661</v>
      </c>
      <c r="E24" s="2">
        <v>10.591266600000001</v>
      </c>
      <c r="F24" s="4">
        <v>48.287744000000004</v>
      </c>
      <c r="G24" s="13">
        <v>1.2083199999999934</v>
      </c>
    </row>
    <row r="25" spans="1:7" x14ac:dyDescent="0.3">
      <c r="A25" s="16" t="s">
        <v>19</v>
      </c>
      <c r="B25" s="1" t="s">
        <v>3</v>
      </c>
      <c r="C25" s="1">
        <v>134</v>
      </c>
      <c r="D25" s="3">
        <v>5.8424519333333338</v>
      </c>
      <c r="E25" s="2">
        <v>10.0874606</v>
      </c>
      <c r="F25" s="4">
        <v>48.246783999999998</v>
      </c>
      <c r="G25" s="13">
        <v>1.7080320000000029</v>
      </c>
    </row>
    <row r="26" spans="1:7" x14ac:dyDescent="0.3">
      <c r="A26" s="16" t="s">
        <v>19</v>
      </c>
      <c r="B26" s="1" t="s">
        <v>3</v>
      </c>
      <c r="C26" s="1">
        <v>143</v>
      </c>
      <c r="D26" s="3">
        <v>5.785100166666667</v>
      </c>
      <c r="E26" s="2">
        <v>10.609484999999999</v>
      </c>
      <c r="F26" s="4">
        <v>48.828415999999997</v>
      </c>
      <c r="G26" s="13">
        <v>1.3967360000000042</v>
      </c>
    </row>
    <row r="27" spans="1:7" x14ac:dyDescent="0.3">
      <c r="A27" s="16" t="s">
        <v>19</v>
      </c>
      <c r="B27" s="1" t="s">
        <v>3</v>
      </c>
      <c r="C27" s="1">
        <v>134</v>
      </c>
      <c r="D27" s="3">
        <v>6.4076094333333335</v>
      </c>
      <c r="E27" s="2">
        <v>10.532180200000001</v>
      </c>
      <c r="F27" s="4">
        <v>48.328704000000002</v>
      </c>
      <c r="G27" s="13">
        <v>1.5646720000000016</v>
      </c>
    </row>
    <row r="28" spans="1:7" x14ac:dyDescent="0.3">
      <c r="A28" s="16" t="s">
        <v>19</v>
      </c>
      <c r="B28" s="1" t="s">
        <v>3</v>
      </c>
      <c r="C28" s="1">
        <v>144</v>
      </c>
      <c r="D28" s="3">
        <v>5.6710105333333329</v>
      </c>
      <c r="E28" s="2">
        <v>9.4662571999999994</v>
      </c>
      <c r="F28" s="4">
        <v>48.263168</v>
      </c>
      <c r="G28" s="13">
        <v>1.5728640000000027</v>
      </c>
    </row>
    <row r="29" spans="1:7" x14ac:dyDescent="0.3">
      <c r="A29" s="16" t="s">
        <v>19</v>
      </c>
      <c r="B29" s="1" t="s">
        <v>3</v>
      </c>
      <c r="C29" s="1">
        <v>145</v>
      </c>
      <c r="D29" s="3">
        <v>5.8269882333333332</v>
      </c>
      <c r="E29" s="2">
        <v>9.4932733999999996</v>
      </c>
      <c r="F29" s="4">
        <v>48.254975999999999</v>
      </c>
      <c r="G29" s="13">
        <v>1.2042240000000035</v>
      </c>
    </row>
    <row r="30" spans="1:7" x14ac:dyDescent="0.3">
      <c r="A30" s="16" t="s">
        <v>19</v>
      </c>
      <c r="B30" s="1" t="s">
        <v>3</v>
      </c>
      <c r="C30" s="1">
        <v>139</v>
      </c>
      <c r="D30" s="3">
        <v>5.9493763</v>
      </c>
      <c r="E30" s="2">
        <v>11.270366599999999</v>
      </c>
      <c r="F30" s="4">
        <v>48.271360000000001</v>
      </c>
      <c r="G30" s="13">
        <v>1.7080319999999958</v>
      </c>
    </row>
    <row r="31" spans="1:7" x14ac:dyDescent="0.3">
      <c r="A31" s="16" t="s">
        <v>19</v>
      </c>
      <c r="B31" s="1" t="s">
        <v>3</v>
      </c>
      <c r="C31" s="1">
        <v>148</v>
      </c>
      <c r="D31" s="3">
        <v>6.8760298666666664</v>
      </c>
      <c r="E31" s="2">
        <v>10.3093588</v>
      </c>
      <c r="F31" s="4">
        <v>48.263168</v>
      </c>
      <c r="G31" s="13">
        <v>1.5564800000000005</v>
      </c>
    </row>
    <row r="32" spans="1:7" x14ac:dyDescent="0.3">
      <c r="A32" s="16" t="s">
        <v>19</v>
      </c>
      <c r="B32" t="s">
        <v>7</v>
      </c>
      <c r="C32" s="1">
        <v>147</v>
      </c>
      <c r="D32" s="3">
        <v>0.37576956666666667</v>
      </c>
      <c r="E32" s="2">
        <v>5.4108052000000004</v>
      </c>
      <c r="F32" s="4">
        <v>48.791552000000003</v>
      </c>
      <c r="G32" s="13">
        <v>5.7753599999999992</v>
      </c>
    </row>
    <row r="33" spans="1:7" x14ac:dyDescent="0.3">
      <c r="A33" s="16" t="s">
        <v>19</v>
      </c>
      <c r="B33" t="s">
        <v>7</v>
      </c>
      <c r="C33" s="1">
        <v>144</v>
      </c>
      <c r="D33" s="3">
        <v>0.27979949999999998</v>
      </c>
      <c r="E33" s="2">
        <v>6.8330545999999996</v>
      </c>
      <c r="F33" s="4">
        <v>48.828415999999997</v>
      </c>
      <c r="G33" s="13">
        <v>5.8286080000000027</v>
      </c>
    </row>
    <row r="34" spans="1:7" x14ac:dyDescent="0.3">
      <c r="A34" s="16" t="s">
        <v>19</v>
      </c>
      <c r="B34" t="s">
        <v>7</v>
      </c>
      <c r="C34" s="1">
        <v>148</v>
      </c>
      <c r="D34" s="3">
        <v>0.28407806666666663</v>
      </c>
      <c r="E34" s="2">
        <v>6.7065462</v>
      </c>
      <c r="F34" s="4">
        <v>48.812032000000002</v>
      </c>
      <c r="G34" s="13">
        <v>5.2551679999999976</v>
      </c>
    </row>
    <row r="35" spans="1:7" x14ac:dyDescent="0.3">
      <c r="A35" s="16" t="s">
        <v>19</v>
      </c>
      <c r="B35" t="s">
        <v>7</v>
      </c>
      <c r="C35" s="1">
        <v>143</v>
      </c>
      <c r="D35" s="3">
        <v>0.29412369999999999</v>
      </c>
      <c r="E35" s="2">
        <v>6.5130625999999996</v>
      </c>
      <c r="F35" s="4">
        <v>48.779263999999998</v>
      </c>
      <c r="G35" s="13">
        <v>5.3862400000000008</v>
      </c>
    </row>
    <row r="36" spans="1:7" x14ac:dyDescent="0.3">
      <c r="A36" s="16" t="s">
        <v>19</v>
      </c>
      <c r="B36" t="s">
        <v>7</v>
      </c>
      <c r="C36" s="1">
        <v>135</v>
      </c>
      <c r="D36" s="3">
        <v>0.33808853333333333</v>
      </c>
      <c r="E36" s="2">
        <v>9.3484292</v>
      </c>
      <c r="F36" s="4">
        <v>48.807935999999998</v>
      </c>
      <c r="G36" s="13">
        <v>5.75488</v>
      </c>
    </row>
    <row r="37" spans="1:7" x14ac:dyDescent="0.3">
      <c r="A37" s="16" t="s">
        <v>19</v>
      </c>
      <c r="B37" t="s">
        <v>7</v>
      </c>
      <c r="C37" s="1">
        <v>149</v>
      </c>
      <c r="D37" s="3">
        <v>0.3065078</v>
      </c>
      <c r="E37" s="2">
        <v>4.7947192000000003</v>
      </c>
      <c r="F37" s="4">
        <v>49.016832000000001</v>
      </c>
      <c r="G37" s="13">
        <v>5.1322880000000026</v>
      </c>
    </row>
    <row r="38" spans="1:7" x14ac:dyDescent="0.3">
      <c r="A38" s="16" t="s">
        <v>19</v>
      </c>
      <c r="B38" t="s">
        <v>7</v>
      </c>
      <c r="C38" s="1">
        <v>145</v>
      </c>
      <c r="D38" s="3">
        <v>0.24157420000000002</v>
      </c>
      <c r="E38" s="2">
        <v>5.326219</v>
      </c>
      <c r="F38" s="4">
        <v>48.844799999999999</v>
      </c>
      <c r="G38" s="13">
        <v>5.2387840000000025</v>
      </c>
    </row>
    <row r="39" spans="1:7" x14ac:dyDescent="0.3">
      <c r="A39" s="16" t="s">
        <v>19</v>
      </c>
      <c r="B39" t="s">
        <v>7</v>
      </c>
      <c r="C39" s="1">
        <v>140</v>
      </c>
      <c r="D39" s="3">
        <v>0.2604114666666667</v>
      </c>
      <c r="E39" s="2">
        <v>7.2104131999999996</v>
      </c>
      <c r="F39" s="4">
        <v>48.930816</v>
      </c>
      <c r="G39" s="13">
        <v>5.6852480000000014</v>
      </c>
    </row>
    <row r="40" spans="1:7" x14ac:dyDescent="0.3">
      <c r="A40" s="16" t="s">
        <v>19</v>
      </c>
      <c r="B40" t="s">
        <v>7</v>
      </c>
      <c r="C40" s="1">
        <v>140</v>
      </c>
      <c r="D40" s="3">
        <v>0.32318636666666661</v>
      </c>
      <c r="E40" s="2">
        <v>4.6029688000000002</v>
      </c>
      <c r="F40" s="4">
        <v>48.816127999999999</v>
      </c>
      <c r="G40" s="13">
        <v>5.8081280000000035</v>
      </c>
    </row>
    <row r="41" spans="1:7" x14ac:dyDescent="0.3">
      <c r="A41" s="16" t="s">
        <v>19</v>
      </c>
      <c r="B41" t="s">
        <v>7</v>
      </c>
      <c r="C41" s="1">
        <v>142</v>
      </c>
      <c r="D41" s="3">
        <v>0.34143623333333334</v>
      </c>
      <c r="E41" s="2">
        <v>5.5779382000000002</v>
      </c>
      <c r="F41" s="4">
        <v>48.775168000000001</v>
      </c>
      <c r="G41" s="13">
        <v>5.300224</v>
      </c>
    </row>
    <row r="42" spans="1:7" x14ac:dyDescent="0.3">
      <c r="A42" s="16" t="s">
        <v>19</v>
      </c>
      <c r="B42" t="s">
        <v>7</v>
      </c>
      <c r="C42" s="1">
        <v>138</v>
      </c>
      <c r="D42" s="3">
        <v>0.30924609999999997</v>
      </c>
      <c r="E42" s="2">
        <v>6.8683899999999998</v>
      </c>
      <c r="F42" s="4">
        <v>48.930816</v>
      </c>
      <c r="G42" s="13">
        <v>5.8040319999999994</v>
      </c>
    </row>
    <row r="43" spans="1:7" x14ac:dyDescent="0.3">
      <c r="A43" s="16" t="s">
        <v>19</v>
      </c>
      <c r="B43" t="s">
        <v>7</v>
      </c>
      <c r="C43" s="1">
        <v>147</v>
      </c>
      <c r="D43" s="3">
        <v>0.37793756666666667</v>
      </c>
      <c r="E43" s="2">
        <v>10.724578599999999</v>
      </c>
      <c r="F43" s="4">
        <v>48.979968</v>
      </c>
      <c r="G43" s="13">
        <v>5.6156160000000028</v>
      </c>
    </row>
    <row r="44" spans="1:7" x14ac:dyDescent="0.3">
      <c r="A44" s="16" t="s">
        <v>19</v>
      </c>
      <c r="B44" t="s">
        <v>7</v>
      </c>
      <c r="C44" s="1">
        <v>146</v>
      </c>
      <c r="D44" s="3">
        <v>0.32815369999999999</v>
      </c>
      <c r="E44" s="2">
        <v>7.9512501999999996</v>
      </c>
      <c r="F44" s="4">
        <v>48.820224000000003</v>
      </c>
      <c r="G44" s="13">
        <v>6.2709759999999974</v>
      </c>
    </row>
    <row r="45" spans="1:7" x14ac:dyDescent="0.3">
      <c r="A45" s="16" t="s">
        <v>19</v>
      </c>
      <c r="B45" t="s">
        <v>7</v>
      </c>
      <c r="C45" s="1">
        <v>129</v>
      </c>
      <c r="D45" s="3">
        <v>0.23756650000000001</v>
      </c>
      <c r="E45" s="2">
        <v>5.8495708000000004</v>
      </c>
      <c r="F45" s="4">
        <v>49.311743999999997</v>
      </c>
      <c r="G45" s="13">
        <v>5.2592640000000017</v>
      </c>
    </row>
    <row r="46" spans="1:7" x14ac:dyDescent="0.3">
      <c r="A46" s="16" t="s">
        <v>19</v>
      </c>
      <c r="B46" t="s">
        <v>7</v>
      </c>
      <c r="C46" s="1">
        <v>157</v>
      </c>
      <c r="D46" s="3">
        <v>0.3533464</v>
      </c>
      <c r="E46" s="2">
        <v>6.1831807999999997</v>
      </c>
      <c r="F46" s="4">
        <v>48.906239999999997</v>
      </c>
      <c r="G46" s="13">
        <v>5.1240960000000015</v>
      </c>
    </row>
    <row r="47" spans="1:7" x14ac:dyDescent="0.3">
      <c r="A47" s="16" t="s">
        <v>19</v>
      </c>
      <c r="B47" t="s">
        <v>7</v>
      </c>
      <c r="C47" s="1">
        <v>140</v>
      </c>
      <c r="D47" s="3">
        <v>0.32150653333333334</v>
      </c>
      <c r="E47" s="2">
        <v>7.0907812000000003</v>
      </c>
      <c r="F47" s="4">
        <v>48.812032000000002</v>
      </c>
      <c r="G47" s="13">
        <v>5.3944319999999948</v>
      </c>
    </row>
    <row r="48" spans="1:7" x14ac:dyDescent="0.3">
      <c r="A48" s="16" t="s">
        <v>19</v>
      </c>
      <c r="B48" t="s">
        <v>7</v>
      </c>
      <c r="C48" s="1">
        <v>132</v>
      </c>
      <c r="D48" s="3">
        <v>0.39100253333333335</v>
      </c>
      <c r="E48" s="2">
        <v>8.9227726000000001</v>
      </c>
      <c r="F48" s="4">
        <v>48.803840000000001</v>
      </c>
      <c r="G48" s="13">
        <v>5.4312959999999961</v>
      </c>
    </row>
    <row r="49" spans="1:7" x14ac:dyDescent="0.3">
      <c r="A49" s="16" t="s">
        <v>19</v>
      </c>
      <c r="B49" t="s">
        <v>7</v>
      </c>
      <c r="C49" s="1">
        <v>133</v>
      </c>
      <c r="D49" s="3">
        <v>0.25791676666666669</v>
      </c>
      <c r="E49" s="2">
        <v>5.9027425999999998</v>
      </c>
      <c r="F49" s="4">
        <v>48.951295999999999</v>
      </c>
      <c r="G49" s="13">
        <v>5.1118080000000035</v>
      </c>
    </row>
    <row r="50" spans="1:7" x14ac:dyDescent="0.3">
      <c r="A50" s="16" t="s">
        <v>19</v>
      </c>
      <c r="B50" t="s">
        <v>7</v>
      </c>
      <c r="C50" s="1">
        <v>136</v>
      </c>
      <c r="D50" s="3">
        <v>0.26333713333333336</v>
      </c>
      <c r="E50" s="2">
        <v>5.3223272000000001</v>
      </c>
      <c r="F50" s="4">
        <v>48.820224000000003</v>
      </c>
      <c r="G50" s="13">
        <v>5.2510719999999935</v>
      </c>
    </row>
    <row r="51" spans="1:7" x14ac:dyDescent="0.3">
      <c r="A51" s="16" t="s">
        <v>19</v>
      </c>
      <c r="B51" t="s">
        <v>7</v>
      </c>
      <c r="C51" s="1">
        <v>139</v>
      </c>
      <c r="D51" s="3">
        <v>0.41144263333333336</v>
      </c>
      <c r="E51" s="2">
        <v>9.2888832000000008</v>
      </c>
      <c r="F51" s="4">
        <v>48.766976</v>
      </c>
      <c r="G51" s="13">
        <v>5.8081280000000035</v>
      </c>
    </row>
    <row r="52" spans="1:7" x14ac:dyDescent="0.3">
      <c r="A52" s="16" t="s">
        <v>19</v>
      </c>
      <c r="B52" t="s">
        <v>7</v>
      </c>
      <c r="C52" s="1">
        <v>135</v>
      </c>
      <c r="D52" s="3">
        <v>0.3216015333333333</v>
      </c>
      <c r="E52" s="2">
        <v>7.8173436000000001</v>
      </c>
      <c r="F52" s="4">
        <v>48.967680000000001</v>
      </c>
      <c r="G52" s="13">
        <v>5.2428799999999995</v>
      </c>
    </row>
    <row r="53" spans="1:7" x14ac:dyDescent="0.3">
      <c r="A53" s="16" t="s">
        <v>19</v>
      </c>
      <c r="B53" t="s">
        <v>7</v>
      </c>
      <c r="C53" s="1">
        <v>143</v>
      </c>
      <c r="D53" s="3">
        <v>0.29833979999999999</v>
      </c>
      <c r="E53" s="2">
        <v>7.3615469999999998</v>
      </c>
      <c r="F53" s="4">
        <v>48.975872000000003</v>
      </c>
      <c r="G53" s="13">
        <v>5.6729599999999962</v>
      </c>
    </row>
    <row r="54" spans="1:7" x14ac:dyDescent="0.3">
      <c r="A54" s="16" t="s">
        <v>19</v>
      </c>
      <c r="B54" t="s">
        <v>7</v>
      </c>
      <c r="C54" s="1">
        <v>134</v>
      </c>
      <c r="D54" s="3">
        <v>0.27917303333333332</v>
      </c>
      <c r="E54" s="2">
        <v>6.3753278</v>
      </c>
      <c r="F54" s="4">
        <v>48.795648</v>
      </c>
      <c r="G54" s="13">
        <v>5.2551679999999976</v>
      </c>
    </row>
    <row r="55" spans="1:7" x14ac:dyDescent="0.3">
      <c r="A55" s="16" t="s">
        <v>19</v>
      </c>
      <c r="B55" t="s">
        <v>7</v>
      </c>
      <c r="C55" s="1">
        <v>148</v>
      </c>
      <c r="D55" s="3">
        <v>0.33045576666666665</v>
      </c>
      <c r="E55" s="2">
        <v>8.9617178000000006</v>
      </c>
      <c r="F55" s="4">
        <v>48.844799999999999</v>
      </c>
      <c r="G55" s="13">
        <v>5.7057280000000006</v>
      </c>
    </row>
    <row r="56" spans="1:7" x14ac:dyDescent="0.3">
      <c r="A56" s="16" t="s">
        <v>19</v>
      </c>
      <c r="B56" t="s">
        <v>7</v>
      </c>
      <c r="C56" s="1">
        <v>167</v>
      </c>
      <c r="D56" s="3">
        <v>0.36063423333333333</v>
      </c>
      <c r="E56" s="2">
        <v>6.8140862000000002</v>
      </c>
      <c r="F56" s="4">
        <v>48.840704000000002</v>
      </c>
      <c r="G56" s="13">
        <v>5.7999359999999953</v>
      </c>
    </row>
    <row r="57" spans="1:7" x14ac:dyDescent="0.3">
      <c r="A57" s="16" t="s">
        <v>19</v>
      </c>
      <c r="B57" t="s">
        <v>7</v>
      </c>
      <c r="C57" s="1">
        <v>136</v>
      </c>
      <c r="D57" s="3">
        <v>0.44860156666666667</v>
      </c>
      <c r="E57" s="2">
        <v>10.6923754</v>
      </c>
      <c r="F57" s="4">
        <v>48.934911999999997</v>
      </c>
      <c r="G57" s="13">
        <v>5.1650559999999999</v>
      </c>
    </row>
    <row r="58" spans="1:7" x14ac:dyDescent="0.3">
      <c r="A58" s="16" t="s">
        <v>19</v>
      </c>
      <c r="B58" t="s">
        <v>7</v>
      </c>
      <c r="C58" s="1">
        <v>144</v>
      </c>
      <c r="D58" s="3">
        <v>0.28838556666666665</v>
      </c>
      <c r="E58" s="2">
        <v>7.7733346000000001</v>
      </c>
      <c r="F58" s="4">
        <v>48.857087999999997</v>
      </c>
      <c r="G58" s="13">
        <v>5.2510720000000006</v>
      </c>
    </row>
    <row r="59" spans="1:7" x14ac:dyDescent="0.3">
      <c r="A59" s="16" t="s">
        <v>19</v>
      </c>
      <c r="B59" t="s">
        <v>7</v>
      </c>
      <c r="C59" s="1">
        <v>134</v>
      </c>
      <c r="D59" s="3">
        <v>0.33679426666666668</v>
      </c>
      <c r="E59" s="2">
        <v>8.7078121999999993</v>
      </c>
      <c r="F59" s="4">
        <v>49.000447999999999</v>
      </c>
      <c r="G59" s="13">
        <v>5.169152000000004</v>
      </c>
    </row>
    <row r="60" spans="1:7" x14ac:dyDescent="0.3">
      <c r="A60" s="16" t="s">
        <v>19</v>
      </c>
      <c r="B60" t="s">
        <v>7</v>
      </c>
      <c r="C60" s="1">
        <v>151</v>
      </c>
      <c r="D60" s="3">
        <v>0.28897123333333335</v>
      </c>
      <c r="E60" s="2">
        <v>7.5377128000000004</v>
      </c>
      <c r="F60" s="4">
        <v>48.992255999999998</v>
      </c>
      <c r="G60" s="13">
        <v>5.6893440000000055</v>
      </c>
    </row>
    <row r="61" spans="1:7" x14ac:dyDescent="0.3">
      <c r="A61" s="16" t="s">
        <v>19</v>
      </c>
      <c r="B61" t="s">
        <v>7</v>
      </c>
      <c r="C61" s="1">
        <v>148</v>
      </c>
      <c r="D61" s="3">
        <v>0.28342576666666669</v>
      </c>
      <c r="E61" s="2">
        <v>7.0586093999999999</v>
      </c>
      <c r="F61" s="4">
        <v>48.832512000000001</v>
      </c>
      <c r="G61" s="13">
        <v>6.0579839999999976</v>
      </c>
    </row>
    <row r="62" spans="1:7" x14ac:dyDescent="0.3">
      <c r="A62" s="16" t="s">
        <v>19</v>
      </c>
      <c r="B62" s="1" t="s">
        <v>24</v>
      </c>
      <c r="C62" s="1">
        <v>149</v>
      </c>
      <c r="D62" s="3">
        <v>126.59694273333334</v>
      </c>
      <c r="E62" s="2">
        <v>8.5678999999999998</v>
      </c>
      <c r="F62" s="4">
        <v>48.832512000000001</v>
      </c>
      <c r="G62" s="13">
        <v>16.228351999999994</v>
      </c>
    </row>
    <row r="63" spans="1:7" x14ac:dyDescent="0.3">
      <c r="A63" s="16" t="s">
        <v>19</v>
      </c>
      <c r="B63" s="1" t="s">
        <v>24</v>
      </c>
      <c r="C63" s="1">
        <v>153</v>
      </c>
      <c r="D63" s="3">
        <v>95.047541766666669</v>
      </c>
      <c r="E63" s="2">
        <v>6.7964137999999998</v>
      </c>
      <c r="F63" s="4">
        <v>48.820224000000003</v>
      </c>
      <c r="G63" s="13">
        <v>16.334848000000001</v>
      </c>
    </row>
    <row r="64" spans="1:7" x14ac:dyDescent="0.3">
      <c r="A64" s="16" t="s">
        <v>19</v>
      </c>
      <c r="B64" s="1" t="s">
        <v>24</v>
      </c>
      <c r="C64" s="1">
        <v>150</v>
      </c>
      <c r="D64" s="3">
        <v>91.675553366666662</v>
      </c>
      <c r="E64" s="2">
        <v>8.7247339999999998</v>
      </c>
      <c r="F64" s="4">
        <v>48.787455999999999</v>
      </c>
      <c r="G64" s="13">
        <v>16.781312000000007</v>
      </c>
    </row>
    <row r="65" spans="1:7" x14ac:dyDescent="0.3">
      <c r="A65" s="16" t="s">
        <v>19</v>
      </c>
      <c r="B65" s="1" t="s">
        <v>24</v>
      </c>
      <c r="C65" s="1">
        <v>155</v>
      </c>
      <c r="D65" s="3">
        <v>113.66180606666666</v>
      </c>
      <c r="E65" s="2">
        <v>8.0282274000000005</v>
      </c>
      <c r="F65" s="4">
        <v>48.795648</v>
      </c>
      <c r="G65" s="13">
        <v>16.236543999999995</v>
      </c>
    </row>
    <row r="66" spans="1:7" x14ac:dyDescent="0.3">
      <c r="A66" s="16" t="s">
        <v>19</v>
      </c>
      <c r="B66" s="1" t="s">
        <v>24</v>
      </c>
      <c r="C66" s="1">
        <v>152</v>
      </c>
      <c r="D66" s="3">
        <v>92.883466099999993</v>
      </c>
      <c r="E66" s="2">
        <v>7.1759215999999997</v>
      </c>
      <c r="F66" s="4">
        <v>48.795648</v>
      </c>
      <c r="G66" s="13">
        <v>16.252927999999997</v>
      </c>
    </row>
    <row r="67" spans="1:7" x14ac:dyDescent="0.3">
      <c r="A67" s="16" t="s">
        <v>19</v>
      </c>
      <c r="B67" s="1" t="s">
        <v>24</v>
      </c>
      <c r="C67" s="1">
        <v>148</v>
      </c>
      <c r="D67" s="3">
        <v>128.02800640000001</v>
      </c>
      <c r="E67" s="2">
        <v>9.6169373999999994</v>
      </c>
      <c r="F67" s="4">
        <v>48.762880000000003</v>
      </c>
      <c r="G67" s="13">
        <v>16.379904000000003</v>
      </c>
    </row>
    <row r="68" spans="1:7" x14ac:dyDescent="0.3">
      <c r="A68" s="16" t="s">
        <v>19</v>
      </c>
      <c r="B68" s="1" t="s">
        <v>24</v>
      </c>
      <c r="C68" s="1">
        <v>144</v>
      </c>
      <c r="D68" s="3">
        <v>101.81731896666666</v>
      </c>
      <c r="E68" s="2">
        <v>7.4261878000000001</v>
      </c>
      <c r="F68" s="4">
        <v>48.799743999999997</v>
      </c>
      <c r="G68" s="13">
        <v>16.240640000000006</v>
      </c>
    </row>
    <row r="69" spans="1:7" x14ac:dyDescent="0.3">
      <c r="A69" s="16" t="s">
        <v>19</v>
      </c>
      <c r="B69" s="1" t="s">
        <v>24</v>
      </c>
      <c r="C69" s="1">
        <v>135</v>
      </c>
      <c r="D69" s="3">
        <v>95.654189900000006</v>
      </c>
      <c r="E69" s="2">
        <v>8.3261482000000004</v>
      </c>
      <c r="F69" s="4">
        <v>48.812032000000002</v>
      </c>
      <c r="G69" s="13">
        <v>16.228352000000001</v>
      </c>
    </row>
    <row r="70" spans="1:7" x14ac:dyDescent="0.3">
      <c r="A70" s="16" t="s">
        <v>19</v>
      </c>
      <c r="B70" s="1" t="s">
        <v>24</v>
      </c>
      <c r="C70" s="1">
        <v>157</v>
      </c>
      <c r="D70" s="3">
        <v>135.16839719999999</v>
      </c>
      <c r="E70" s="2">
        <v>7.6025233999999999</v>
      </c>
      <c r="F70" s="4">
        <v>48.840704000000002</v>
      </c>
      <c r="G70" s="13">
        <v>16.326656</v>
      </c>
    </row>
    <row r="71" spans="1:7" x14ac:dyDescent="0.3">
      <c r="A71" s="16" t="s">
        <v>19</v>
      </c>
      <c r="B71" s="1" t="s">
        <v>24</v>
      </c>
      <c r="C71" s="1">
        <v>148</v>
      </c>
      <c r="D71" s="3">
        <v>90.954096233333331</v>
      </c>
      <c r="E71" s="2">
        <v>7.6518117999999999</v>
      </c>
      <c r="F71" s="4">
        <v>48.832512000000001</v>
      </c>
      <c r="G71" s="13">
        <v>16.216063999999996</v>
      </c>
    </row>
    <row r="72" spans="1:7" x14ac:dyDescent="0.3">
      <c r="A72" s="16" t="s">
        <v>19</v>
      </c>
      <c r="B72" s="1" t="s">
        <v>24</v>
      </c>
      <c r="C72" s="1">
        <v>180</v>
      </c>
      <c r="D72" s="3">
        <v>99.836053300000003</v>
      </c>
      <c r="E72" s="2">
        <v>8.3376488000000002</v>
      </c>
      <c r="F72" s="4">
        <v>49.258496000000001</v>
      </c>
      <c r="G72" s="13">
        <v>15.785983999999992</v>
      </c>
    </row>
    <row r="73" spans="1:7" x14ac:dyDescent="0.3">
      <c r="A73" s="16" t="s">
        <v>19</v>
      </c>
      <c r="B73" s="1" t="s">
        <v>24</v>
      </c>
      <c r="C73" s="1">
        <v>154</v>
      </c>
      <c r="D73" s="3">
        <v>148.89251303333333</v>
      </c>
      <c r="E73" s="2">
        <v>9.4908996000000005</v>
      </c>
      <c r="F73" s="4">
        <v>48.795648</v>
      </c>
      <c r="G73" s="13">
        <v>16.216064000000003</v>
      </c>
    </row>
    <row r="74" spans="1:7" x14ac:dyDescent="0.3">
      <c r="A74" s="16" t="s">
        <v>19</v>
      </c>
      <c r="B74" s="1" t="s">
        <v>24</v>
      </c>
      <c r="C74" s="1">
        <v>151</v>
      </c>
      <c r="D74" s="3">
        <v>116.47952996666668</v>
      </c>
      <c r="E74" s="2">
        <v>8.0533205999999993</v>
      </c>
      <c r="F74" s="4">
        <v>48.82432</v>
      </c>
      <c r="G74" s="13">
        <v>16.297984</v>
      </c>
    </row>
    <row r="75" spans="1:7" x14ac:dyDescent="0.3">
      <c r="A75" s="16" t="s">
        <v>19</v>
      </c>
      <c r="B75" s="1" t="s">
        <v>24</v>
      </c>
      <c r="C75" s="1">
        <v>136</v>
      </c>
      <c r="D75" s="3">
        <v>106.2312096</v>
      </c>
      <c r="E75" s="2">
        <v>7.4716246000000002</v>
      </c>
      <c r="F75" s="4">
        <v>48.807935999999998</v>
      </c>
      <c r="G75" s="13">
        <v>15.736832000000007</v>
      </c>
    </row>
    <row r="76" spans="1:7" x14ac:dyDescent="0.3">
      <c r="A76" s="16" t="s">
        <v>19</v>
      </c>
      <c r="B76" s="1" t="s">
        <v>24</v>
      </c>
      <c r="C76" s="1">
        <v>141</v>
      </c>
      <c r="D76" s="3">
        <v>91.606567699999999</v>
      </c>
      <c r="E76" s="2">
        <v>7.4401254000000003</v>
      </c>
      <c r="F76" s="4">
        <v>48.758783999999999</v>
      </c>
      <c r="G76" s="13">
        <v>14.913536000000001</v>
      </c>
    </row>
    <row r="77" spans="1:7" x14ac:dyDescent="0.3">
      <c r="A77" s="16" t="s">
        <v>19</v>
      </c>
      <c r="B77" s="1" t="s">
        <v>24</v>
      </c>
      <c r="C77" s="1">
        <v>151</v>
      </c>
      <c r="D77" s="3">
        <v>96.544168033333335</v>
      </c>
      <c r="E77" s="2">
        <v>7.8598438000000002</v>
      </c>
      <c r="F77" s="4">
        <v>48.762880000000003</v>
      </c>
      <c r="G77" s="13">
        <v>16.412671999999993</v>
      </c>
    </row>
    <row r="78" spans="1:7" x14ac:dyDescent="0.3">
      <c r="A78" s="16" t="s">
        <v>19</v>
      </c>
      <c r="B78" s="1" t="s">
        <v>24</v>
      </c>
      <c r="C78" s="1">
        <v>157</v>
      </c>
      <c r="D78" s="3">
        <v>127.26349483333333</v>
      </c>
      <c r="E78" s="2">
        <v>7.6452799999999996</v>
      </c>
      <c r="F78" s="4">
        <v>48.820224000000003</v>
      </c>
      <c r="G78" s="13">
        <v>16.297983999999992</v>
      </c>
    </row>
    <row r="79" spans="1:7" x14ac:dyDescent="0.3">
      <c r="A79" s="16" t="s">
        <v>19</v>
      </c>
      <c r="B79" s="1" t="s">
        <v>24</v>
      </c>
      <c r="C79" s="1">
        <v>154</v>
      </c>
      <c r="D79" s="3">
        <v>93.889505133333344</v>
      </c>
      <c r="E79" s="2">
        <v>7.7952032000000004</v>
      </c>
      <c r="F79" s="4">
        <v>48.836607999999998</v>
      </c>
      <c r="G79" s="13">
        <v>16.265215999999995</v>
      </c>
    </row>
    <row r="80" spans="1:7" x14ac:dyDescent="0.3">
      <c r="A80" s="16" t="s">
        <v>19</v>
      </c>
      <c r="B80" s="1" t="s">
        <v>24</v>
      </c>
      <c r="C80" s="1">
        <v>146</v>
      </c>
      <c r="D80" s="3">
        <v>89.865369700000002</v>
      </c>
      <c r="E80" s="2">
        <v>6.7724375999999999</v>
      </c>
      <c r="F80" s="4">
        <v>48.431103999999998</v>
      </c>
      <c r="G80" s="13">
        <v>16.629759999999997</v>
      </c>
    </row>
    <row r="81" spans="1:7" x14ac:dyDescent="0.3">
      <c r="A81" s="16" t="s">
        <v>19</v>
      </c>
      <c r="B81" s="1" t="s">
        <v>24</v>
      </c>
      <c r="C81" s="1">
        <v>152</v>
      </c>
      <c r="D81" s="3">
        <v>120.733487</v>
      </c>
      <c r="E81" s="2">
        <v>6.9510465999999997</v>
      </c>
      <c r="F81" s="4">
        <v>48.787455999999999</v>
      </c>
      <c r="G81" s="13">
        <v>15.704063999999995</v>
      </c>
    </row>
    <row r="82" spans="1:7" x14ac:dyDescent="0.3">
      <c r="A82" s="16" t="s">
        <v>19</v>
      </c>
      <c r="B82" s="1" t="s">
        <v>24</v>
      </c>
      <c r="C82" s="1">
        <v>159</v>
      </c>
      <c r="D82" s="3">
        <v>132.23351700000001</v>
      </c>
      <c r="E82" s="2">
        <v>7.8655084000000004</v>
      </c>
      <c r="F82" s="4">
        <v>48.791552000000003</v>
      </c>
      <c r="G82" s="13">
        <v>16.371711999999995</v>
      </c>
    </row>
    <row r="83" spans="1:7" x14ac:dyDescent="0.3">
      <c r="A83" s="16" t="s">
        <v>19</v>
      </c>
      <c r="B83" s="1" t="s">
        <v>24</v>
      </c>
      <c r="C83" s="1">
        <v>136</v>
      </c>
      <c r="D83" s="3">
        <v>94.6557174</v>
      </c>
      <c r="E83" s="2">
        <v>7.3619383999999997</v>
      </c>
      <c r="F83" s="4">
        <v>48.775168000000001</v>
      </c>
      <c r="G83" s="13">
        <v>16.416767999999998</v>
      </c>
    </row>
    <row r="84" spans="1:7" x14ac:dyDescent="0.3">
      <c r="A84" s="16" t="s">
        <v>19</v>
      </c>
      <c r="B84" s="1" t="s">
        <v>24</v>
      </c>
      <c r="C84" s="1">
        <v>159</v>
      </c>
      <c r="D84" s="3">
        <v>121.57132813333334</v>
      </c>
      <c r="E84" s="2">
        <v>7.5003751999999997</v>
      </c>
      <c r="F84" s="4">
        <v>48.787455999999999</v>
      </c>
      <c r="G84" s="13">
        <v>16.289791999999998</v>
      </c>
    </row>
    <row r="85" spans="1:7" x14ac:dyDescent="0.3">
      <c r="A85" s="16" t="s">
        <v>19</v>
      </c>
      <c r="B85" s="1" t="s">
        <v>24</v>
      </c>
      <c r="C85" s="1">
        <v>150</v>
      </c>
      <c r="D85" s="3">
        <v>94.959384133333344</v>
      </c>
      <c r="E85" s="2">
        <v>7.8707197999999998</v>
      </c>
      <c r="F85" s="4">
        <v>48.795648</v>
      </c>
      <c r="G85" s="13">
        <v>16.334847999999994</v>
      </c>
    </row>
    <row r="86" spans="1:7" x14ac:dyDescent="0.3">
      <c r="A86" s="16" t="s">
        <v>19</v>
      </c>
      <c r="B86" s="1" t="s">
        <v>24</v>
      </c>
      <c r="C86" s="1">
        <v>151</v>
      </c>
      <c r="D86" s="3">
        <v>109.31349473333333</v>
      </c>
      <c r="E86" s="2">
        <v>7.5930929999999996</v>
      </c>
      <c r="F86" s="4">
        <v>48.791552000000003</v>
      </c>
      <c r="G86" s="13">
        <v>16.228351999999994</v>
      </c>
    </row>
    <row r="87" spans="1:7" x14ac:dyDescent="0.3">
      <c r="A87" s="16" t="s">
        <v>19</v>
      </c>
      <c r="B87" s="1" t="s">
        <v>24</v>
      </c>
      <c r="C87" s="1">
        <v>143</v>
      </c>
      <c r="D87" s="3">
        <v>114.71642203333333</v>
      </c>
      <c r="E87" s="2">
        <v>8.2159531999999995</v>
      </c>
      <c r="F87" s="4">
        <v>48.787455999999999</v>
      </c>
      <c r="G87" s="13">
        <v>16.359423999999997</v>
      </c>
    </row>
    <row r="88" spans="1:7" x14ac:dyDescent="0.3">
      <c r="A88" s="16" t="s">
        <v>19</v>
      </c>
      <c r="B88" s="1" t="s">
        <v>24</v>
      </c>
      <c r="C88" s="1">
        <v>166</v>
      </c>
      <c r="D88" s="3">
        <v>123.73779823333334</v>
      </c>
      <c r="E88" s="2">
        <v>7.5739217999999999</v>
      </c>
      <c r="F88" s="4">
        <v>48.799743999999997</v>
      </c>
      <c r="G88" s="13">
        <v>16.740352000000009</v>
      </c>
    </row>
    <row r="89" spans="1:7" x14ac:dyDescent="0.3">
      <c r="A89" s="16" t="s">
        <v>19</v>
      </c>
      <c r="B89" s="1" t="s">
        <v>24</v>
      </c>
      <c r="C89" s="1">
        <v>159</v>
      </c>
      <c r="D89" s="3">
        <v>92.566868499999998</v>
      </c>
      <c r="E89" s="2">
        <v>7.6182416000000002</v>
      </c>
      <c r="F89" s="4">
        <v>49.270783999999999</v>
      </c>
      <c r="G89" s="13">
        <v>15.769600000000004</v>
      </c>
    </row>
    <row r="90" spans="1:7" x14ac:dyDescent="0.3">
      <c r="A90" s="16" t="s">
        <v>19</v>
      </c>
      <c r="B90" s="1" t="s">
        <v>24</v>
      </c>
      <c r="C90" s="1">
        <v>149</v>
      </c>
      <c r="D90" s="3">
        <v>118.36523836666666</v>
      </c>
      <c r="E90" s="2">
        <v>8.5776719999999997</v>
      </c>
      <c r="F90" s="4">
        <v>48.771071999999997</v>
      </c>
      <c r="G90" s="13">
        <v>16.281600000000005</v>
      </c>
    </row>
    <row r="91" spans="1:7" x14ac:dyDescent="0.3">
      <c r="A91" s="16" t="s">
        <v>19</v>
      </c>
      <c r="B91" s="1" t="s">
        <v>24</v>
      </c>
      <c r="C91" s="1">
        <v>148</v>
      </c>
      <c r="D91" s="3">
        <v>113.65527213333334</v>
      </c>
      <c r="E91" s="2">
        <v>7.8306313999999997</v>
      </c>
      <c r="F91" s="4">
        <v>48.758783999999999</v>
      </c>
      <c r="G91" s="13">
        <v>16.318463999999999</v>
      </c>
    </row>
    <row r="92" spans="1:7" x14ac:dyDescent="0.3">
      <c r="A92" s="16" t="s">
        <v>19</v>
      </c>
      <c r="B92" s="1" t="s">
        <v>8</v>
      </c>
      <c r="C92" s="1">
        <v>141</v>
      </c>
      <c r="D92" s="3">
        <v>4.9751614000000002</v>
      </c>
      <c r="E92" s="2">
        <v>11.4578182</v>
      </c>
      <c r="F92" s="4">
        <v>48.328704000000002</v>
      </c>
      <c r="G92" s="13">
        <v>1.6629760000000005</v>
      </c>
    </row>
    <row r="93" spans="1:7" x14ac:dyDescent="0.3">
      <c r="A93" s="16" t="s">
        <v>19</v>
      </c>
      <c r="B93" s="1" t="s">
        <v>8</v>
      </c>
      <c r="C93" s="1">
        <v>179</v>
      </c>
      <c r="D93" s="3">
        <v>4.5055573666666664</v>
      </c>
      <c r="E93" s="2">
        <v>10.4511634</v>
      </c>
      <c r="F93" s="4">
        <v>48.238591999999997</v>
      </c>
      <c r="G93" s="13">
        <v>1.146880000000003</v>
      </c>
    </row>
    <row r="94" spans="1:7" x14ac:dyDescent="0.3">
      <c r="A94" s="16" t="s">
        <v>19</v>
      </c>
      <c r="B94" s="1" t="s">
        <v>8</v>
      </c>
      <c r="C94" s="1">
        <v>164</v>
      </c>
      <c r="D94" s="3">
        <v>4.3752904333333333</v>
      </c>
      <c r="E94" s="2">
        <v>8.1128590000000003</v>
      </c>
      <c r="F94" s="4">
        <v>48.279552000000002</v>
      </c>
      <c r="G94" s="13">
        <v>1.1837439999999972</v>
      </c>
    </row>
    <row r="95" spans="1:7" x14ac:dyDescent="0.3">
      <c r="A95" s="16" t="s">
        <v>19</v>
      </c>
      <c r="B95" s="1" t="s">
        <v>8</v>
      </c>
      <c r="C95" s="1">
        <v>135</v>
      </c>
      <c r="D95" s="3">
        <v>5.0432252000000002</v>
      </c>
      <c r="E95" s="2">
        <v>10.522835799999999</v>
      </c>
      <c r="F95" s="4">
        <v>48.328704000000002</v>
      </c>
      <c r="G95" s="13">
        <v>1.5728639999999956</v>
      </c>
    </row>
    <row r="96" spans="1:7" x14ac:dyDescent="0.3">
      <c r="A96" s="16" t="s">
        <v>19</v>
      </c>
      <c r="B96" s="1" t="s">
        <v>8</v>
      </c>
      <c r="C96" s="1">
        <v>148</v>
      </c>
      <c r="D96" s="3">
        <v>4.8103046666666671</v>
      </c>
      <c r="E96" s="2">
        <v>10.6109712</v>
      </c>
      <c r="F96" s="4">
        <v>48.332799999999999</v>
      </c>
      <c r="G96" s="13">
        <v>1.1550720000000041</v>
      </c>
    </row>
    <row r="97" spans="1:7" x14ac:dyDescent="0.3">
      <c r="A97" s="16" t="s">
        <v>19</v>
      </c>
      <c r="B97" s="1" t="s">
        <v>8</v>
      </c>
      <c r="C97" s="1">
        <v>146</v>
      </c>
      <c r="D97" s="3">
        <v>3.9939388</v>
      </c>
      <c r="E97" s="2">
        <v>9.1612898000000005</v>
      </c>
      <c r="F97" s="4">
        <v>48.287744000000004</v>
      </c>
      <c r="G97" s="13">
        <v>1.155071999999997</v>
      </c>
    </row>
    <row r="98" spans="1:7" x14ac:dyDescent="0.3">
      <c r="A98" s="16" t="s">
        <v>19</v>
      </c>
      <c r="B98" s="1" t="s">
        <v>8</v>
      </c>
      <c r="C98" s="1">
        <v>128</v>
      </c>
      <c r="D98" s="3">
        <v>4.5186393000000002</v>
      </c>
      <c r="E98" s="2">
        <v>9.4585559999999997</v>
      </c>
      <c r="F98" s="4">
        <v>48.263168</v>
      </c>
      <c r="G98" s="13">
        <v>1.269759999999998</v>
      </c>
    </row>
    <row r="99" spans="1:7" x14ac:dyDescent="0.3">
      <c r="A99" s="16" t="s">
        <v>19</v>
      </c>
      <c r="B99" s="1" t="s">
        <v>8</v>
      </c>
      <c r="C99" s="1">
        <v>148</v>
      </c>
      <c r="D99" s="3">
        <v>5.3502538333333334</v>
      </c>
      <c r="E99" s="2">
        <v>9.9579229999999992</v>
      </c>
      <c r="F99" s="4">
        <v>48.267263999999997</v>
      </c>
      <c r="G99" s="13">
        <v>1.2287999999999997</v>
      </c>
    </row>
    <row r="100" spans="1:7" x14ac:dyDescent="0.3">
      <c r="A100" s="16" t="s">
        <v>19</v>
      </c>
      <c r="B100" s="1" t="s">
        <v>8</v>
      </c>
      <c r="C100" s="1">
        <v>148</v>
      </c>
      <c r="D100" s="3">
        <v>4.7043308000000001</v>
      </c>
      <c r="E100" s="2">
        <v>8.8957341999999997</v>
      </c>
      <c r="F100" s="4">
        <v>48.332799999999999</v>
      </c>
      <c r="G100" s="13">
        <v>1.4868480000000019</v>
      </c>
    </row>
    <row r="101" spans="1:7" x14ac:dyDescent="0.3">
      <c r="A101" s="16" t="s">
        <v>19</v>
      </c>
      <c r="B101" s="1" t="s">
        <v>8</v>
      </c>
      <c r="C101" s="1">
        <v>144</v>
      </c>
      <c r="D101" s="3">
        <v>4.4188814333333335</v>
      </c>
      <c r="E101" s="2">
        <v>8.7205075999999995</v>
      </c>
      <c r="F101" s="4">
        <v>48.361471999999999</v>
      </c>
      <c r="G101" s="13">
        <v>0.94617600000000124</v>
      </c>
    </row>
    <row r="102" spans="1:7" x14ac:dyDescent="0.3">
      <c r="A102" s="16" t="s">
        <v>19</v>
      </c>
      <c r="B102" s="1" t="s">
        <v>8</v>
      </c>
      <c r="C102" s="1">
        <v>131</v>
      </c>
      <c r="D102" s="3">
        <v>5.3557578000000001</v>
      </c>
      <c r="E102" s="2">
        <v>10.6836868</v>
      </c>
      <c r="F102" s="4">
        <v>48.238591999999997</v>
      </c>
      <c r="G102" s="13">
        <v>1.2410880000000049</v>
      </c>
    </row>
    <row r="103" spans="1:7" x14ac:dyDescent="0.3">
      <c r="A103" s="16" t="s">
        <v>19</v>
      </c>
      <c r="B103" s="1" t="s">
        <v>8</v>
      </c>
      <c r="C103" s="1">
        <v>140</v>
      </c>
      <c r="D103" s="3">
        <v>5.0811314999999997</v>
      </c>
      <c r="E103" s="2">
        <v>10.0746862</v>
      </c>
      <c r="F103" s="4">
        <v>48.439295999999999</v>
      </c>
      <c r="G103" s="13">
        <v>1.0608640000000022</v>
      </c>
    </row>
    <row r="104" spans="1:7" x14ac:dyDescent="0.3">
      <c r="A104" s="16" t="s">
        <v>19</v>
      </c>
      <c r="B104" s="1" t="s">
        <v>8</v>
      </c>
      <c r="C104" s="1">
        <v>148</v>
      </c>
      <c r="D104" s="3">
        <v>4.1997967999999997</v>
      </c>
      <c r="E104" s="2">
        <v>9.3221623999999998</v>
      </c>
      <c r="F104" s="4">
        <v>48.31232</v>
      </c>
      <c r="G104" s="13">
        <v>1.4745599999999968</v>
      </c>
    </row>
    <row r="105" spans="1:7" x14ac:dyDescent="0.3">
      <c r="A105" s="16" t="s">
        <v>19</v>
      </c>
      <c r="B105" s="1" t="s">
        <v>8</v>
      </c>
      <c r="C105" s="1">
        <v>134</v>
      </c>
      <c r="D105" s="3">
        <v>4.9907251666666665</v>
      </c>
      <c r="E105" s="2">
        <v>10.028640599999999</v>
      </c>
      <c r="F105" s="4">
        <v>48.246783999999998</v>
      </c>
      <c r="G105" s="13">
        <v>1.4335999999999984</v>
      </c>
    </row>
    <row r="106" spans="1:7" x14ac:dyDescent="0.3">
      <c r="A106" s="16" t="s">
        <v>19</v>
      </c>
      <c r="B106" s="1" t="s">
        <v>8</v>
      </c>
      <c r="C106" s="1">
        <v>144</v>
      </c>
      <c r="D106" s="3">
        <v>4.8499193333333332</v>
      </c>
      <c r="E106" s="2">
        <v>8.7376501999999991</v>
      </c>
      <c r="F106" s="4">
        <v>48.357376000000002</v>
      </c>
      <c r="G106" s="13">
        <v>1.5278080000000003</v>
      </c>
    </row>
    <row r="107" spans="1:7" x14ac:dyDescent="0.3">
      <c r="A107" s="16" t="s">
        <v>19</v>
      </c>
      <c r="B107" s="1" t="s">
        <v>8</v>
      </c>
      <c r="C107" s="1">
        <v>140</v>
      </c>
      <c r="D107" s="3">
        <v>4.1532721666666665</v>
      </c>
      <c r="E107" s="2">
        <v>9.0613753999999993</v>
      </c>
      <c r="F107" s="4">
        <v>48.246783999999998</v>
      </c>
      <c r="G107" s="13">
        <v>1.2287999999999997</v>
      </c>
    </row>
    <row r="108" spans="1:7" x14ac:dyDescent="0.3">
      <c r="A108" s="16" t="s">
        <v>19</v>
      </c>
      <c r="B108" s="1" t="s">
        <v>8</v>
      </c>
      <c r="C108" s="1">
        <v>141</v>
      </c>
      <c r="D108" s="3">
        <v>4.4729972999999994</v>
      </c>
      <c r="E108" s="2">
        <v>10.4387738</v>
      </c>
      <c r="F108" s="4">
        <v>48.250880000000002</v>
      </c>
      <c r="G108" s="13">
        <v>1.1345919999999978</v>
      </c>
    </row>
    <row r="109" spans="1:7" x14ac:dyDescent="0.3">
      <c r="A109" s="16" t="s">
        <v>19</v>
      </c>
      <c r="B109" s="1" t="s">
        <v>8</v>
      </c>
      <c r="C109" s="1">
        <v>133</v>
      </c>
      <c r="D109" s="3">
        <v>4.8237682666666668</v>
      </c>
      <c r="E109" s="2">
        <v>9.8468137999999996</v>
      </c>
      <c r="F109" s="4">
        <v>48.349184000000001</v>
      </c>
      <c r="G109" s="13">
        <v>1.5360000000000014</v>
      </c>
    </row>
    <row r="110" spans="1:7" x14ac:dyDescent="0.3">
      <c r="A110" s="16" t="s">
        <v>19</v>
      </c>
      <c r="B110" s="1" t="s">
        <v>8</v>
      </c>
      <c r="C110" s="1">
        <v>145</v>
      </c>
      <c r="D110" s="3">
        <v>4.693640666666667</v>
      </c>
      <c r="E110" s="2">
        <v>10.2378502</v>
      </c>
      <c r="F110" s="4">
        <v>48.246783999999998</v>
      </c>
      <c r="G110" s="13">
        <v>1.2410880000000049</v>
      </c>
    </row>
    <row r="111" spans="1:7" x14ac:dyDescent="0.3">
      <c r="A111" s="16" t="s">
        <v>19</v>
      </c>
      <c r="B111" s="1" t="s">
        <v>8</v>
      </c>
      <c r="C111" s="1">
        <v>148</v>
      </c>
      <c r="D111" s="3">
        <v>4.6716433333333329</v>
      </c>
      <c r="E111" s="2">
        <v>10.0550538</v>
      </c>
      <c r="F111" s="4">
        <v>48.267263999999997</v>
      </c>
      <c r="G111" s="13">
        <v>1.4663680000000028</v>
      </c>
    </row>
    <row r="112" spans="1:7" x14ac:dyDescent="0.3">
      <c r="A112" s="16" t="s">
        <v>19</v>
      </c>
      <c r="B112" s="1" t="s">
        <v>8</v>
      </c>
      <c r="C112" s="1">
        <v>158</v>
      </c>
      <c r="D112" s="3">
        <v>5.3555403333333329</v>
      </c>
      <c r="E112" s="2">
        <v>10.1428042</v>
      </c>
      <c r="F112" s="4">
        <v>48.934911999999997</v>
      </c>
      <c r="G112" s="13">
        <v>1.0977280000000036</v>
      </c>
    </row>
    <row r="113" spans="1:7" x14ac:dyDescent="0.3">
      <c r="A113" s="16" t="s">
        <v>19</v>
      </c>
      <c r="B113" s="1" t="s">
        <v>8</v>
      </c>
      <c r="C113" s="1">
        <v>145</v>
      </c>
      <c r="D113" s="3">
        <v>5.5201757000000002</v>
      </c>
      <c r="E113" s="2">
        <v>9.497992</v>
      </c>
      <c r="F113" s="4">
        <v>48.238591999999997</v>
      </c>
      <c r="G113" s="13">
        <v>1.1837440000000043</v>
      </c>
    </row>
    <row r="114" spans="1:7" x14ac:dyDescent="0.3">
      <c r="A114" s="16" t="s">
        <v>19</v>
      </c>
      <c r="B114" s="1" t="s">
        <v>8</v>
      </c>
      <c r="C114" s="1">
        <v>139</v>
      </c>
      <c r="D114" s="3">
        <v>4.9188698666666664</v>
      </c>
      <c r="E114" s="2">
        <v>10.2356488</v>
      </c>
      <c r="F114" s="4">
        <v>48.893951999999999</v>
      </c>
      <c r="G114" s="13">
        <v>0.82739200000000324</v>
      </c>
    </row>
    <row r="115" spans="1:7" x14ac:dyDescent="0.3">
      <c r="A115" s="16" t="s">
        <v>19</v>
      </c>
      <c r="B115" s="1" t="s">
        <v>8</v>
      </c>
      <c r="C115" s="1">
        <v>127</v>
      </c>
      <c r="D115" s="3">
        <v>4.3132370999999994</v>
      </c>
      <c r="E115" s="2">
        <v>8.8244995999999993</v>
      </c>
      <c r="F115" s="4">
        <v>48.275455999999998</v>
      </c>
      <c r="G115" s="13">
        <v>1.150976</v>
      </c>
    </row>
    <row r="116" spans="1:7" x14ac:dyDescent="0.3">
      <c r="A116" s="16" t="s">
        <v>19</v>
      </c>
      <c r="B116" s="1" t="s">
        <v>8</v>
      </c>
      <c r="C116" s="1">
        <v>147</v>
      </c>
      <c r="D116" s="3">
        <v>5.1820820000000003</v>
      </c>
      <c r="E116" s="2">
        <v>9.6160081999999996</v>
      </c>
      <c r="F116" s="4">
        <v>49.377279999999999</v>
      </c>
      <c r="G116" s="13">
        <v>0.56115199999999987</v>
      </c>
    </row>
    <row r="117" spans="1:7" x14ac:dyDescent="0.3">
      <c r="A117" s="16" t="s">
        <v>19</v>
      </c>
      <c r="B117" s="1" t="s">
        <v>8</v>
      </c>
      <c r="C117" s="1">
        <v>147</v>
      </c>
      <c r="D117" s="3">
        <v>5.0016223666666662</v>
      </c>
      <c r="E117" s="2">
        <v>9.4282973999999999</v>
      </c>
      <c r="F117" s="4">
        <v>48.246783999999998</v>
      </c>
      <c r="G117" s="13">
        <v>1.0936319999999995</v>
      </c>
    </row>
    <row r="118" spans="1:7" x14ac:dyDescent="0.3">
      <c r="A118" s="16" t="s">
        <v>19</v>
      </c>
      <c r="B118" s="1" t="s">
        <v>8</v>
      </c>
      <c r="C118" s="1">
        <v>134</v>
      </c>
      <c r="D118" s="3">
        <v>4.3184048333333331</v>
      </c>
      <c r="E118" s="2">
        <v>9.8074995999999999</v>
      </c>
      <c r="F118" s="4">
        <v>48.234496</v>
      </c>
      <c r="G118" s="13">
        <v>1.2001279999999994</v>
      </c>
    </row>
    <row r="119" spans="1:7" x14ac:dyDescent="0.3">
      <c r="A119" s="16" t="s">
        <v>19</v>
      </c>
      <c r="B119" s="1" t="s">
        <v>8</v>
      </c>
      <c r="C119" s="1">
        <v>141</v>
      </c>
      <c r="D119" s="3">
        <v>4.6721079999999997</v>
      </c>
      <c r="E119" s="2">
        <v>9.7374531999999991</v>
      </c>
      <c r="F119" s="4">
        <v>48.238591999999997</v>
      </c>
      <c r="G119" s="13">
        <v>1.1591680000000011</v>
      </c>
    </row>
    <row r="120" spans="1:7" x14ac:dyDescent="0.3">
      <c r="A120" s="16" t="s">
        <v>19</v>
      </c>
      <c r="B120" s="1" t="s">
        <v>8</v>
      </c>
      <c r="C120" s="1">
        <v>136</v>
      </c>
      <c r="D120" s="3">
        <v>4.5017772666666662</v>
      </c>
      <c r="E120" s="2">
        <v>9.1763518000000008</v>
      </c>
      <c r="F120" s="4">
        <v>48.291840000000001</v>
      </c>
      <c r="G120" s="13">
        <v>1.2533760000000029</v>
      </c>
    </row>
    <row r="121" spans="1:7" x14ac:dyDescent="0.3">
      <c r="A121" s="16" t="s">
        <v>19</v>
      </c>
      <c r="B121" s="1" t="s">
        <v>8</v>
      </c>
      <c r="C121" s="1">
        <v>144</v>
      </c>
      <c r="D121" s="3">
        <v>5.8919832000000003</v>
      </c>
      <c r="E121" s="2">
        <v>10.244078999999999</v>
      </c>
      <c r="F121" s="4">
        <v>48.283647999999999</v>
      </c>
      <c r="G121" s="13">
        <v>1.5319039999999973</v>
      </c>
    </row>
    <row r="122" spans="1:7" x14ac:dyDescent="0.3">
      <c r="A122" s="16" t="s">
        <v>19</v>
      </c>
      <c r="B122" s="1" t="s">
        <v>9</v>
      </c>
      <c r="C122" s="1">
        <v>135</v>
      </c>
      <c r="D122" s="3">
        <v>60.32725786666667</v>
      </c>
      <c r="E122" s="2">
        <v>27.535149000000001</v>
      </c>
      <c r="F122" s="4">
        <v>48.832512000000001</v>
      </c>
      <c r="G122" s="13">
        <v>5.6975359999999995</v>
      </c>
    </row>
    <row r="123" spans="1:7" x14ac:dyDescent="0.3">
      <c r="A123" s="16" t="s">
        <v>19</v>
      </c>
      <c r="B123" s="1" t="s">
        <v>9</v>
      </c>
      <c r="C123" s="1">
        <v>155</v>
      </c>
      <c r="D123" s="3">
        <v>60.489114499999999</v>
      </c>
      <c r="E123" s="2">
        <v>23.197436799999998</v>
      </c>
      <c r="F123" s="4">
        <v>48.816127999999999</v>
      </c>
      <c r="G123" s="13">
        <v>5.9596799999999988</v>
      </c>
    </row>
    <row r="124" spans="1:7" x14ac:dyDescent="0.3">
      <c r="A124" s="16" t="s">
        <v>19</v>
      </c>
      <c r="B124" s="1" t="s">
        <v>9</v>
      </c>
      <c r="C124" s="1">
        <v>138</v>
      </c>
      <c r="D124" s="3">
        <v>60.527856833333338</v>
      </c>
      <c r="E124" s="2">
        <v>20.664374800000001</v>
      </c>
      <c r="F124" s="4">
        <v>48.762880000000003</v>
      </c>
      <c r="G124" s="13">
        <v>5.8286079999999956</v>
      </c>
    </row>
    <row r="125" spans="1:7" x14ac:dyDescent="0.3">
      <c r="A125" s="16" t="s">
        <v>19</v>
      </c>
      <c r="B125" s="1" t="s">
        <v>9</v>
      </c>
      <c r="C125" s="1">
        <v>160</v>
      </c>
      <c r="D125" s="3">
        <v>60.519472700000001</v>
      </c>
      <c r="E125" s="2">
        <v>22.7446324</v>
      </c>
      <c r="F125" s="4">
        <v>48.762880000000003</v>
      </c>
      <c r="G125" s="13">
        <v>6.2177279999999939</v>
      </c>
    </row>
    <row r="126" spans="1:7" x14ac:dyDescent="0.3">
      <c r="A126" s="16" t="s">
        <v>19</v>
      </c>
      <c r="B126" s="1" t="s">
        <v>9</v>
      </c>
      <c r="C126" s="1">
        <v>152</v>
      </c>
      <c r="D126" s="3">
        <v>60.315725399999998</v>
      </c>
      <c r="E126" s="2">
        <v>27.497812400000001</v>
      </c>
      <c r="F126" s="4">
        <v>48.812032000000002</v>
      </c>
      <c r="G126" s="13">
        <v>5.7466879999999989</v>
      </c>
    </row>
    <row r="127" spans="1:7" x14ac:dyDescent="0.3">
      <c r="A127" s="16" t="s">
        <v>19</v>
      </c>
      <c r="B127" s="1" t="s">
        <v>9</v>
      </c>
      <c r="C127" s="1">
        <v>134</v>
      </c>
      <c r="D127" s="3">
        <v>60.423662933333333</v>
      </c>
      <c r="E127" s="2">
        <v>20.453672000000001</v>
      </c>
      <c r="F127" s="4">
        <v>48.832512000000001</v>
      </c>
      <c r="G127" s="13">
        <v>6.1562879999999964</v>
      </c>
    </row>
    <row r="128" spans="1:7" x14ac:dyDescent="0.3">
      <c r="A128" s="16" t="s">
        <v>19</v>
      </c>
      <c r="B128" s="1" t="s">
        <v>9</v>
      </c>
      <c r="C128" s="1">
        <v>132</v>
      </c>
      <c r="D128" s="3">
        <v>60.623705799999996</v>
      </c>
      <c r="E128" s="2">
        <v>21.2821496</v>
      </c>
      <c r="F128" s="4">
        <v>48.865279999999998</v>
      </c>
      <c r="G128" s="13">
        <v>5.7794560000000033</v>
      </c>
    </row>
    <row r="129" spans="1:7" x14ac:dyDescent="0.3">
      <c r="A129" s="16" t="s">
        <v>19</v>
      </c>
      <c r="B129" s="1" t="s">
        <v>9</v>
      </c>
      <c r="C129" s="1">
        <v>137</v>
      </c>
      <c r="D129" s="3">
        <v>60.357275999999999</v>
      </c>
      <c r="E129" s="2">
        <v>24.1925706</v>
      </c>
      <c r="F129" s="4">
        <v>48.885759999999998</v>
      </c>
      <c r="G129" s="13">
        <v>5.9391999999999996</v>
      </c>
    </row>
    <row r="130" spans="1:7" x14ac:dyDescent="0.3">
      <c r="A130" s="16" t="s">
        <v>19</v>
      </c>
      <c r="B130" s="1" t="s">
        <v>9</v>
      </c>
      <c r="C130" s="1">
        <v>134</v>
      </c>
      <c r="D130" s="3">
        <v>60.240285100000001</v>
      </c>
      <c r="E130" s="2">
        <v>19.174249799999998</v>
      </c>
      <c r="F130" s="4">
        <v>48.779263999999998</v>
      </c>
      <c r="G130" s="13">
        <v>5.9146240000000034</v>
      </c>
    </row>
    <row r="131" spans="1:7" x14ac:dyDescent="0.3">
      <c r="A131" s="16" t="s">
        <v>19</v>
      </c>
      <c r="B131" s="1" t="s">
        <v>9</v>
      </c>
      <c r="C131" s="1">
        <v>130</v>
      </c>
      <c r="D131" s="3">
        <v>60.330455766666667</v>
      </c>
      <c r="E131" s="2">
        <v>20.2894772</v>
      </c>
      <c r="F131" s="4">
        <v>48.861184000000002</v>
      </c>
      <c r="G131" s="13">
        <v>5.8408960000000008</v>
      </c>
    </row>
    <row r="132" spans="1:7" x14ac:dyDescent="0.3">
      <c r="A132" s="16" t="s">
        <v>19</v>
      </c>
      <c r="B132" s="1" t="s">
        <v>9</v>
      </c>
      <c r="C132" s="1">
        <v>137</v>
      </c>
      <c r="D132" s="3">
        <v>60.348153600000003</v>
      </c>
      <c r="E132" s="2">
        <v>20.756491400000002</v>
      </c>
      <c r="F132" s="4">
        <v>49.033216000000003</v>
      </c>
      <c r="G132" s="13">
        <v>5.8367999999999967</v>
      </c>
    </row>
    <row r="133" spans="1:7" x14ac:dyDescent="0.3">
      <c r="A133" s="16" t="s">
        <v>19</v>
      </c>
      <c r="B133" s="1" t="s">
        <v>9</v>
      </c>
      <c r="C133" s="1">
        <v>147</v>
      </c>
      <c r="D133" s="3">
        <v>60.518796899999998</v>
      </c>
      <c r="E133" s="2">
        <v>27.211890199999999</v>
      </c>
      <c r="F133" s="4">
        <v>48.807935999999998</v>
      </c>
      <c r="G133" s="13">
        <v>5.9310079999999985</v>
      </c>
    </row>
    <row r="134" spans="1:7" x14ac:dyDescent="0.3">
      <c r="A134" s="16" t="s">
        <v>19</v>
      </c>
      <c r="B134" s="1" t="s">
        <v>9</v>
      </c>
      <c r="C134" s="1">
        <v>139</v>
      </c>
      <c r="D134" s="3">
        <v>60.550337133333336</v>
      </c>
      <c r="E134" s="2">
        <v>21.022025200000002</v>
      </c>
      <c r="F134" s="4">
        <v>48.791552000000003</v>
      </c>
      <c r="G134" s="13">
        <v>5.9555839999999947</v>
      </c>
    </row>
    <row r="135" spans="1:7" x14ac:dyDescent="0.3">
      <c r="A135" s="16" t="s">
        <v>19</v>
      </c>
      <c r="B135" s="1" t="s">
        <v>9</v>
      </c>
      <c r="C135" s="1">
        <v>142</v>
      </c>
      <c r="D135" s="3">
        <v>60.353156233333337</v>
      </c>
      <c r="E135" s="2">
        <v>23.339850800000001</v>
      </c>
      <c r="F135" s="4">
        <v>48.300032000000002</v>
      </c>
      <c r="G135" s="13">
        <v>6.7747839999999968</v>
      </c>
    </row>
    <row r="136" spans="1:7" x14ac:dyDescent="0.3">
      <c r="A136" s="16" t="s">
        <v>19</v>
      </c>
      <c r="B136" s="1" t="s">
        <v>9</v>
      </c>
      <c r="C136" s="1">
        <v>144</v>
      </c>
      <c r="D136" s="3">
        <v>60.290343733333337</v>
      </c>
      <c r="E136" s="2">
        <v>19.169640000000001</v>
      </c>
      <c r="F136" s="4">
        <v>48.783360000000002</v>
      </c>
      <c r="G136" s="13">
        <v>5.8327039999999997</v>
      </c>
    </row>
    <row r="137" spans="1:7" x14ac:dyDescent="0.3">
      <c r="A137" s="16" t="s">
        <v>19</v>
      </c>
      <c r="B137" s="1" t="s">
        <v>9</v>
      </c>
      <c r="C137" s="1">
        <v>130</v>
      </c>
      <c r="D137" s="3">
        <v>60.420386799999996</v>
      </c>
      <c r="E137" s="2">
        <v>20.8387648</v>
      </c>
      <c r="F137" s="4">
        <v>48.861184000000002</v>
      </c>
      <c r="G137" s="13">
        <v>5.7712639999999951</v>
      </c>
    </row>
    <row r="138" spans="1:7" x14ac:dyDescent="0.3">
      <c r="A138" s="16" t="s">
        <v>19</v>
      </c>
      <c r="B138" s="1" t="s">
        <v>9</v>
      </c>
      <c r="C138" s="1">
        <v>147</v>
      </c>
      <c r="D138" s="3">
        <v>60.371673133333331</v>
      </c>
      <c r="E138" s="2">
        <v>24.0505782</v>
      </c>
      <c r="F138" s="4">
        <v>48.779263999999998</v>
      </c>
      <c r="G138" s="13">
        <v>6.2996480000000048</v>
      </c>
    </row>
    <row r="139" spans="1:7" x14ac:dyDescent="0.3">
      <c r="A139" s="16" t="s">
        <v>19</v>
      </c>
      <c r="B139" s="1" t="s">
        <v>9</v>
      </c>
      <c r="C139" s="1">
        <v>147</v>
      </c>
      <c r="D139" s="3">
        <v>60.460448033333329</v>
      </c>
      <c r="E139" s="2">
        <v>22.296647799999999</v>
      </c>
      <c r="F139" s="4">
        <v>48.427008000000001</v>
      </c>
      <c r="G139" s="13">
        <v>6.2914559999999966</v>
      </c>
    </row>
    <row r="140" spans="1:7" x14ac:dyDescent="0.3">
      <c r="A140" s="16" t="s">
        <v>19</v>
      </c>
      <c r="B140" s="1" t="s">
        <v>9</v>
      </c>
      <c r="C140" s="1">
        <v>145</v>
      </c>
      <c r="D140" s="3">
        <v>60.535066299999997</v>
      </c>
      <c r="E140" s="2">
        <v>20.387656799999998</v>
      </c>
      <c r="F140" s="4">
        <v>48.82432</v>
      </c>
      <c r="G140" s="13">
        <v>5.9146239999999963</v>
      </c>
    </row>
    <row r="141" spans="1:7" x14ac:dyDescent="0.3">
      <c r="A141" s="16" t="s">
        <v>19</v>
      </c>
      <c r="B141" s="1" t="s">
        <v>9</v>
      </c>
      <c r="C141" s="1">
        <v>143</v>
      </c>
      <c r="D141" s="3">
        <v>60.152285200000001</v>
      </c>
      <c r="E141" s="2">
        <v>27.398819799999998</v>
      </c>
      <c r="F141" s="4">
        <v>48.922623999999999</v>
      </c>
      <c r="G141" s="13">
        <v>5.7958399999999983</v>
      </c>
    </row>
    <row r="142" spans="1:7" x14ac:dyDescent="0.3">
      <c r="A142" s="16" t="s">
        <v>19</v>
      </c>
      <c r="B142" s="1" t="s">
        <v>9</v>
      </c>
      <c r="C142" s="1">
        <v>158</v>
      </c>
      <c r="D142" s="3">
        <v>60.450686233333336</v>
      </c>
      <c r="E142" s="2">
        <v>20.6274446</v>
      </c>
      <c r="F142" s="4">
        <v>48.820224000000003</v>
      </c>
      <c r="G142" s="13">
        <v>6.443007999999999</v>
      </c>
    </row>
    <row r="143" spans="1:7" x14ac:dyDescent="0.3">
      <c r="A143" s="16" t="s">
        <v>19</v>
      </c>
      <c r="B143" s="1" t="s">
        <v>9</v>
      </c>
      <c r="C143" s="1">
        <v>140</v>
      </c>
      <c r="D143" s="3">
        <v>60.314553333333336</v>
      </c>
      <c r="E143" s="2">
        <v>21.2849848</v>
      </c>
      <c r="F143" s="4">
        <v>48.828415999999997</v>
      </c>
      <c r="G143" s="13">
        <v>5.9146240000000034</v>
      </c>
    </row>
    <row r="144" spans="1:7" x14ac:dyDescent="0.3">
      <c r="A144" s="16" t="s">
        <v>19</v>
      </c>
      <c r="B144" s="1" t="s">
        <v>9</v>
      </c>
      <c r="C144" s="1">
        <v>138</v>
      </c>
      <c r="D144" s="3">
        <v>60.6847852</v>
      </c>
      <c r="E144" s="2">
        <v>20.996867600000002</v>
      </c>
      <c r="F144" s="4">
        <v>48.418816</v>
      </c>
      <c r="G144" s="13">
        <v>6.3037440000000018</v>
      </c>
    </row>
    <row r="145" spans="1:7" x14ac:dyDescent="0.3">
      <c r="A145" s="16" t="s">
        <v>19</v>
      </c>
      <c r="B145" s="1" t="s">
        <v>9</v>
      </c>
      <c r="C145" s="1">
        <v>139</v>
      </c>
      <c r="D145" s="3">
        <v>60.481623733333336</v>
      </c>
      <c r="E145" s="2">
        <v>25.138852</v>
      </c>
      <c r="F145" s="4">
        <v>48.906239999999997</v>
      </c>
      <c r="G145" s="13">
        <v>5.9392000000000067</v>
      </c>
    </row>
    <row r="146" spans="1:7" x14ac:dyDescent="0.3">
      <c r="A146" s="16" t="s">
        <v>19</v>
      </c>
      <c r="B146" s="1" t="s">
        <v>9</v>
      </c>
      <c r="C146" s="1">
        <v>138</v>
      </c>
      <c r="D146" s="3">
        <v>60.397210899999997</v>
      </c>
      <c r="E146" s="2">
        <v>26.596008000000001</v>
      </c>
      <c r="F146" s="4">
        <v>48.881664000000001</v>
      </c>
      <c r="G146" s="13">
        <v>5.873663999999998</v>
      </c>
    </row>
    <row r="147" spans="1:7" x14ac:dyDescent="0.3">
      <c r="A147" s="16" t="s">
        <v>19</v>
      </c>
      <c r="B147" s="1" t="s">
        <v>9</v>
      </c>
      <c r="C147" s="1">
        <v>136</v>
      </c>
      <c r="D147" s="3">
        <v>60.284695433333333</v>
      </c>
      <c r="E147" s="2">
        <v>26.916375200000001</v>
      </c>
      <c r="F147" s="4">
        <v>48.775168000000001</v>
      </c>
      <c r="G147" s="13">
        <v>5.7753599999999992</v>
      </c>
    </row>
    <row r="148" spans="1:7" x14ac:dyDescent="0.3">
      <c r="A148" s="16" t="s">
        <v>19</v>
      </c>
      <c r="B148" s="1" t="s">
        <v>9</v>
      </c>
      <c r="C148" s="1">
        <v>148</v>
      </c>
      <c r="D148" s="3">
        <v>60.436519666666662</v>
      </c>
      <c r="E148" s="2">
        <v>20.7268358</v>
      </c>
      <c r="F148" s="4">
        <v>48.771071999999997</v>
      </c>
      <c r="G148" s="13">
        <v>6.0825600000000009</v>
      </c>
    </row>
    <row r="149" spans="1:7" x14ac:dyDescent="0.3">
      <c r="A149" s="16" t="s">
        <v>19</v>
      </c>
      <c r="B149" s="1" t="s">
        <v>9</v>
      </c>
      <c r="C149" s="1">
        <v>144</v>
      </c>
      <c r="D149" s="3">
        <v>60.371631600000001</v>
      </c>
      <c r="E149" s="2">
        <v>21.1162426</v>
      </c>
      <c r="F149" s="4">
        <v>48.812032000000002</v>
      </c>
      <c r="G149" s="13">
        <v>6.1153279999999981</v>
      </c>
    </row>
    <row r="150" spans="1:7" x14ac:dyDescent="0.3">
      <c r="A150" s="16" t="s">
        <v>19</v>
      </c>
      <c r="B150" s="1" t="s">
        <v>9</v>
      </c>
      <c r="C150" s="1">
        <v>139</v>
      </c>
      <c r="D150" s="3">
        <v>60.72370063333333</v>
      </c>
      <c r="E150" s="2">
        <v>20.440303799999999</v>
      </c>
      <c r="F150" s="4">
        <v>48.922623999999999</v>
      </c>
      <c r="G150" s="13">
        <v>5.8531839999999988</v>
      </c>
    </row>
    <row r="151" spans="1:7" x14ac:dyDescent="0.3">
      <c r="A151" s="16" t="s">
        <v>19</v>
      </c>
      <c r="B151" s="1" t="s">
        <v>9</v>
      </c>
      <c r="C151" s="1">
        <v>136</v>
      </c>
      <c r="D151" s="3">
        <v>60.363722633333332</v>
      </c>
      <c r="E151" s="2">
        <v>21.566162200000001</v>
      </c>
      <c r="F151" s="4">
        <v>48.840704000000002</v>
      </c>
      <c r="G151" s="13">
        <v>6.0866559999999978</v>
      </c>
    </row>
    <row r="152" spans="1:7" x14ac:dyDescent="0.3">
      <c r="A152" s="16" t="s">
        <v>20</v>
      </c>
      <c r="B152" s="1" t="s">
        <v>5</v>
      </c>
      <c r="C152" s="5">
        <v>297</v>
      </c>
      <c r="D152" s="6">
        <v>8.3406757666666671</v>
      </c>
      <c r="E152" s="7">
        <v>8.5518516000000009</v>
      </c>
      <c r="F152" s="8">
        <v>72.585216000000003</v>
      </c>
      <c r="G152" s="14">
        <v>0.86015999999999337</v>
      </c>
    </row>
    <row r="153" spans="1:7" x14ac:dyDescent="0.3">
      <c r="A153" s="16" t="s">
        <v>20</v>
      </c>
      <c r="B153" s="1" t="s">
        <v>5</v>
      </c>
      <c r="C153" s="9">
        <v>278</v>
      </c>
      <c r="D153" s="10">
        <v>9.4293879333333344</v>
      </c>
      <c r="E153" s="11">
        <v>11.543507200000001</v>
      </c>
      <c r="F153" s="12">
        <v>71.409664000000006</v>
      </c>
      <c r="G153" s="15">
        <v>3.108863999999997</v>
      </c>
    </row>
    <row r="154" spans="1:7" x14ac:dyDescent="0.3">
      <c r="A154" s="16" t="s">
        <v>20</v>
      </c>
      <c r="B154" s="1" t="s">
        <v>5</v>
      </c>
      <c r="C154" s="5">
        <v>268</v>
      </c>
      <c r="D154" s="6">
        <v>8.5731028666666678</v>
      </c>
      <c r="E154" s="7">
        <v>9.9685229999999994</v>
      </c>
      <c r="F154" s="8">
        <v>72.486912000000004</v>
      </c>
      <c r="G154" s="14">
        <v>2.0111359999999934</v>
      </c>
    </row>
    <row r="155" spans="1:7" x14ac:dyDescent="0.3">
      <c r="A155" s="16" t="s">
        <v>20</v>
      </c>
      <c r="B155" s="1" t="s">
        <v>5</v>
      </c>
      <c r="C155" s="9">
        <v>272</v>
      </c>
      <c r="D155" s="10">
        <v>9.1342838333333347</v>
      </c>
      <c r="E155" s="11">
        <v>9.6410934000000008</v>
      </c>
      <c r="F155" s="12">
        <v>71.553023999999994</v>
      </c>
      <c r="G155" s="15">
        <v>3.0883840000000049</v>
      </c>
    </row>
    <row r="156" spans="1:7" x14ac:dyDescent="0.3">
      <c r="A156" s="16" t="s">
        <v>20</v>
      </c>
      <c r="B156" s="1" t="s">
        <v>5</v>
      </c>
      <c r="C156" s="5">
        <v>254</v>
      </c>
      <c r="D156" s="6">
        <v>9.7778514666666663</v>
      </c>
      <c r="E156" s="7">
        <v>10.556327599999999</v>
      </c>
      <c r="F156" s="8">
        <v>72.560640000000006</v>
      </c>
      <c r="G156" s="14">
        <v>3.0515199999999965</v>
      </c>
    </row>
    <row r="157" spans="1:7" x14ac:dyDescent="0.3">
      <c r="A157" s="16" t="s">
        <v>20</v>
      </c>
      <c r="B157" s="1" t="s">
        <v>5</v>
      </c>
      <c r="C157" s="9">
        <v>280</v>
      </c>
      <c r="D157" s="10">
        <v>10.1032812</v>
      </c>
      <c r="E157" s="11">
        <v>9.9599224</v>
      </c>
      <c r="F157" s="12">
        <v>71.520256000000003</v>
      </c>
      <c r="G157" s="15">
        <v>2.6378239999999948</v>
      </c>
    </row>
    <row r="158" spans="1:7" x14ac:dyDescent="0.3">
      <c r="A158" s="16" t="s">
        <v>20</v>
      </c>
      <c r="B158" s="1" t="s">
        <v>5</v>
      </c>
      <c r="C158" s="5">
        <v>268</v>
      </c>
      <c r="D158" s="6">
        <v>10.026050733333333</v>
      </c>
      <c r="E158" s="7">
        <v>10.6264614</v>
      </c>
      <c r="F158" s="8">
        <v>71.307264000000004</v>
      </c>
      <c r="G158" s="14">
        <v>2.6501119999999929</v>
      </c>
    </row>
    <row r="159" spans="1:7" x14ac:dyDescent="0.3">
      <c r="A159" s="16" t="s">
        <v>20</v>
      </c>
      <c r="B159" s="1" t="s">
        <v>5</v>
      </c>
      <c r="C159" s="9">
        <v>273</v>
      </c>
      <c r="D159" s="10">
        <v>8.7449205333333335</v>
      </c>
      <c r="E159" s="11">
        <v>12.9307968</v>
      </c>
      <c r="F159" s="12">
        <v>71.385087999999996</v>
      </c>
      <c r="G159" s="15">
        <v>3.2808959999999985</v>
      </c>
    </row>
    <row r="160" spans="1:7" x14ac:dyDescent="0.3">
      <c r="A160" s="16" t="s">
        <v>20</v>
      </c>
      <c r="B160" s="1" t="s">
        <v>5</v>
      </c>
      <c r="C160" s="5">
        <v>319</v>
      </c>
      <c r="D160" s="6">
        <v>9.0309714000000003</v>
      </c>
      <c r="E160" s="7">
        <v>9.9126487999999995</v>
      </c>
      <c r="F160" s="8">
        <v>71.389184</v>
      </c>
      <c r="G160" s="14">
        <v>3.2686080000000004</v>
      </c>
    </row>
    <row r="161" spans="1:7" x14ac:dyDescent="0.3">
      <c r="A161" s="16" t="s">
        <v>20</v>
      </c>
      <c r="B161" s="1" t="s">
        <v>5</v>
      </c>
      <c r="C161" s="9">
        <v>281</v>
      </c>
      <c r="D161" s="10">
        <v>8.5871537</v>
      </c>
      <c r="E161" s="11">
        <v>9.8880473999999996</v>
      </c>
      <c r="F161" s="12">
        <v>71.905280000000005</v>
      </c>
      <c r="G161" s="15">
        <v>1.7489920000000012</v>
      </c>
    </row>
    <row r="162" spans="1:7" x14ac:dyDescent="0.3">
      <c r="A162" s="16" t="s">
        <v>20</v>
      </c>
      <c r="B162" s="1" t="s">
        <v>5</v>
      </c>
      <c r="C162" s="5">
        <v>283</v>
      </c>
      <c r="D162" s="6">
        <v>8.5234595333333338</v>
      </c>
      <c r="E162" s="7">
        <v>9.9297578000000009</v>
      </c>
      <c r="F162" s="8">
        <v>71.483391999999995</v>
      </c>
      <c r="G162" s="14">
        <v>3.0392319999999984</v>
      </c>
    </row>
    <row r="163" spans="1:7" x14ac:dyDescent="0.3">
      <c r="A163" s="16" t="s">
        <v>20</v>
      </c>
      <c r="B163" s="1" t="s">
        <v>5</v>
      </c>
      <c r="C163" s="9">
        <v>262</v>
      </c>
      <c r="D163" s="10">
        <v>8.9734451999999987</v>
      </c>
      <c r="E163" s="11">
        <v>10.1475708</v>
      </c>
      <c r="F163" s="12">
        <v>72.429568000000003</v>
      </c>
      <c r="G163" s="15">
        <v>3.1252479999999991</v>
      </c>
    </row>
    <row r="164" spans="1:7" x14ac:dyDescent="0.3">
      <c r="A164" s="16" t="s">
        <v>20</v>
      </c>
      <c r="B164" s="1" t="s">
        <v>5</v>
      </c>
      <c r="C164" s="5">
        <v>261</v>
      </c>
      <c r="D164" s="6">
        <v>8.8346796333333319</v>
      </c>
      <c r="E164" s="7">
        <v>10.151844000000001</v>
      </c>
      <c r="F164" s="8">
        <v>72.974335999999994</v>
      </c>
      <c r="G164" s="14">
        <v>2.0275200000000098</v>
      </c>
    </row>
    <row r="165" spans="1:7" x14ac:dyDescent="0.3">
      <c r="A165" s="16" t="s">
        <v>20</v>
      </c>
      <c r="B165" s="1" t="s">
        <v>5</v>
      </c>
      <c r="C165" s="9">
        <v>258</v>
      </c>
      <c r="D165" s="10">
        <v>9.0240768333333339</v>
      </c>
      <c r="E165" s="11">
        <v>14.858017</v>
      </c>
      <c r="F165" s="12">
        <v>71.385087999999996</v>
      </c>
      <c r="G165" s="15">
        <v>3.2194560000000081</v>
      </c>
    </row>
    <row r="166" spans="1:7" x14ac:dyDescent="0.3">
      <c r="A166" s="16" t="s">
        <v>20</v>
      </c>
      <c r="B166" s="1" t="s">
        <v>5</v>
      </c>
      <c r="C166" s="5">
        <v>263</v>
      </c>
      <c r="D166" s="6">
        <v>8.8480599000000009</v>
      </c>
      <c r="E166" s="7">
        <v>11.498427599999999</v>
      </c>
      <c r="F166" s="8">
        <v>72.429568000000003</v>
      </c>
      <c r="G166" s="14">
        <v>1.5851519999999937</v>
      </c>
    </row>
    <row r="167" spans="1:7" x14ac:dyDescent="0.3">
      <c r="A167" s="16" t="s">
        <v>20</v>
      </c>
      <c r="B167" s="1" t="s">
        <v>5</v>
      </c>
      <c r="C167" s="9">
        <v>273</v>
      </c>
      <c r="D167" s="10">
        <v>9.5285287333333333</v>
      </c>
      <c r="E167" s="11">
        <v>9.5539991999999998</v>
      </c>
      <c r="F167" s="12">
        <v>71.847936000000004</v>
      </c>
      <c r="G167" s="15">
        <v>2.8057599999999923</v>
      </c>
    </row>
    <row r="168" spans="1:7" x14ac:dyDescent="0.3">
      <c r="A168" s="16" t="s">
        <v>20</v>
      </c>
      <c r="B168" s="1" t="s">
        <v>5</v>
      </c>
      <c r="C168" s="5">
        <v>265</v>
      </c>
      <c r="D168" s="6">
        <v>8.9920690000000008</v>
      </c>
      <c r="E168" s="7">
        <v>12.577774399999999</v>
      </c>
      <c r="F168" s="8">
        <v>71.405568000000002</v>
      </c>
      <c r="G168" s="14">
        <v>3.1293440000000032</v>
      </c>
    </row>
    <row r="169" spans="1:7" x14ac:dyDescent="0.3">
      <c r="A169" s="16" t="s">
        <v>20</v>
      </c>
      <c r="B169" s="1" t="s">
        <v>5</v>
      </c>
      <c r="C169" s="9">
        <v>258</v>
      </c>
      <c r="D169" s="10">
        <v>9.1611210666666665</v>
      </c>
      <c r="E169" s="11">
        <v>9.4058981999999993</v>
      </c>
      <c r="F169" s="12">
        <v>72.568832</v>
      </c>
      <c r="G169" s="15">
        <v>1.9988479999999953</v>
      </c>
    </row>
    <row r="170" spans="1:7" x14ac:dyDescent="0.3">
      <c r="A170" s="16" t="s">
        <v>20</v>
      </c>
      <c r="B170" s="1" t="s">
        <v>5</v>
      </c>
      <c r="C170" s="5">
        <v>315</v>
      </c>
      <c r="D170" s="6">
        <v>9.4279740333333333</v>
      </c>
      <c r="E170" s="7">
        <v>10.4062176</v>
      </c>
      <c r="F170" s="8">
        <v>72.003584000000004</v>
      </c>
      <c r="G170" s="14">
        <v>2.3756800000000027</v>
      </c>
    </row>
    <row r="171" spans="1:7" x14ac:dyDescent="0.3">
      <c r="A171" s="16" t="s">
        <v>20</v>
      </c>
      <c r="B171" s="1" t="s">
        <v>5</v>
      </c>
      <c r="C171" s="9">
        <v>266</v>
      </c>
      <c r="D171" s="10">
        <v>9.2430456000000003</v>
      </c>
      <c r="E171" s="11">
        <v>10.5771014</v>
      </c>
      <c r="F171" s="12">
        <v>72.040447999999998</v>
      </c>
      <c r="G171" s="15">
        <v>2.998272</v>
      </c>
    </row>
    <row r="172" spans="1:7" x14ac:dyDescent="0.3">
      <c r="A172" s="16" t="s">
        <v>20</v>
      </c>
      <c r="B172" s="1" t="s">
        <v>5</v>
      </c>
      <c r="C172" s="1">
        <v>264</v>
      </c>
      <c r="D172" s="3">
        <v>9.5257903333333331</v>
      </c>
      <c r="E172" s="2">
        <v>9.6956875999999994</v>
      </c>
      <c r="F172" s="4">
        <v>71.401471999999998</v>
      </c>
      <c r="G172" s="13">
        <v>3.0638080000000087</v>
      </c>
    </row>
    <row r="173" spans="1:7" x14ac:dyDescent="0.3">
      <c r="A173" s="16" t="s">
        <v>20</v>
      </c>
      <c r="B173" s="1" t="s">
        <v>5</v>
      </c>
      <c r="C173" s="1">
        <v>269</v>
      </c>
      <c r="D173" s="3">
        <v>8.7749062333333328</v>
      </c>
      <c r="E173" s="2">
        <v>11.381928800000001</v>
      </c>
      <c r="F173" s="4">
        <v>71.544832</v>
      </c>
      <c r="G173" s="13">
        <v>1.9210240000000027</v>
      </c>
    </row>
    <row r="174" spans="1:7" x14ac:dyDescent="0.3">
      <c r="A174" s="16" t="s">
        <v>20</v>
      </c>
      <c r="B174" s="1" t="s">
        <v>5</v>
      </c>
      <c r="C174" s="1">
        <v>272</v>
      </c>
      <c r="D174" s="3">
        <v>8.3067616666666666</v>
      </c>
      <c r="E174" s="2">
        <v>12.5180712</v>
      </c>
      <c r="F174" s="4">
        <v>71.327743999999996</v>
      </c>
      <c r="G174" s="13">
        <v>3.3177600000000069</v>
      </c>
    </row>
    <row r="175" spans="1:7" x14ac:dyDescent="0.3">
      <c r="A175" s="16" t="s">
        <v>20</v>
      </c>
      <c r="B175" s="1" t="s">
        <v>5</v>
      </c>
      <c r="C175" s="1">
        <v>277</v>
      </c>
      <c r="D175" s="3">
        <v>8.9191471999999994</v>
      </c>
      <c r="E175" s="2">
        <v>9.3846249999999998</v>
      </c>
      <c r="F175" s="4">
        <v>71.380992000000006</v>
      </c>
      <c r="G175" s="13">
        <v>3.0842880000000008</v>
      </c>
    </row>
    <row r="176" spans="1:7" x14ac:dyDescent="0.3">
      <c r="A176" s="16" t="s">
        <v>20</v>
      </c>
      <c r="B176" s="1" t="s">
        <v>5</v>
      </c>
      <c r="C176" s="1">
        <v>269</v>
      </c>
      <c r="D176" s="3">
        <v>8.9612343666666678</v>
      </c>
      <c r="E176" s="2">
        <v>9.2770858</v>
      </c>
      <c r="F176" s="4">
        <v>71.925759999999997</v>
      </c>
      <c r="G176" s="13">
        <v>3.2849920000000026</v>
      </c>
    </row>
    <row r="177" spans="1:7" x14ac:dyDescent="0.3">
      <c r="A177" s="16" t="s">
        <v>20</v>
      </c>
      <c r="B177" s="1" t="s">
        <v>5</v>
      </c>
      <c r="C177" s="1">
        <v>258</v>
      </c>
      <c r="D177" s="3">
        <v>9.9621562333333333</v>
      </c>
      <c r="E177" s="2">
        <v>9.4353663999999995</v>
      </c>
      <c r="F177" s="4">
        <v>71.970815999999999</v>
      </c>
      <c r="G177" s="13">
        <v>2.3797760000000068</v>
      </c>
    </row>
    <row r="178" spans="1:7" x14ac:dyDescent="0.3">
      <c r="A178" s="16" t="s">
        <v>20</v>
      </c>
      <c r="B178" s="1" t="s">
        <v>5</v>
      </c>
      <c r="C178" s="1">
        <v>251</v>
      </c>
      <c r="D178" s="3">
        <v>8.9100638666666665</v>
      </c>
      <c r="E178" s="2">
        <v>9.4993894000000001</v>
      </c>
      <c r="F178" s="4">
        <v>71.868415999999996</v>
      </c>
      <c r="G178" s="13">
        <v>3.2808959999999985</v>
      </c>
    </row>
    <row r="179" spans="1:7" x14ac:dyDescent="0.3">
      <c r="A179" s="16" t="s">
        <v>20</v>
      </c>
      <c r="B179" s="1" t="s">
        <v>5</v>
      </c>
      <c r="C179" s="1">
        <v>252</v>
      </c>
      <c r="D179" s="3">
        <v>9.8723033666666673</v>
      </c>
      <c r="E179" s="2">
        <v>13.015428399999999</v>
      </c>
      <c r="F179" s="4">
        <v>72.376320000000007</v>
      </c>
      <c r="G179" s="13">
        <v>2.203647999999987</v>
      </c>
    </row>
    <row r="180" spans="1:7" x14ac:dyDescent="0.3">
      <c r="A180" s="16" t="s">
        <v>20</v>
      </c>
      <c r="B180" s="1" t="s">
        <v>5</v>
      </c>
      <c r="C180" s="1">
        <v>261</v>
      </c>
      <c r="D180" s="3">
        <v>9.5314805666666658</v>
      </c>
      <c r="E180" s="2">
        <v>9.4148826000000003</v>
      </c>
      <c r="F180" s="4">
        <v>71.557119999999998</v>
      </c>
      <c r="G180" s="13">
        <v>3.1989760000000018</v>
      </c>
    </row>
    <row r="181" spans="1:7" x14ac:dyDescent="0.3">
      <c r="A181" s="16" t="s">
        <v>20</v>
      </c>
      <c r="B181" s="1" t="s">
        <v>5</v>
      </c>
      <c r="C181" s="1">
        <v>268</v>
      </c>
      <c r="D181" s="3">
        <v>9.4464492666666668</v>
      </c>
      <c r="E181" s="2">
        <v>11.1311094</v>
      </c>
      <c r="F181" s="4">
        <v>71.364608000000004</v>
      </c>
      <c r="G181" s="13">
        <v>2.2036480000000012</v>
      </c>
    </row>
    <row r="182" spans="1:7" x14ac:dyDescent="0.3">
      <c r="A182" s="16" t="s">
        <v>20</v>
      </c>
      <c r="B182" s="1" t="s">
        <v>10</v>
      </c>
      <c r="C182" s="1">
        <v>287</v>
      </c>
      <c r="D182" s="3">
        <v>2.7692187333333336</v>
      </c>
      <c r="E182" s="2">
        <v>15.689437399999999</v>
      </c>
      <c r="F182" s="4">
        <v>74.027007999999995</v>
      </c>
      <c r="G182" s="13">
        <v>4.149248</v>
      </c>
    </row>
    <row r="183" spans="1:7" x14ac:dyDescent="0.3">
      <c r="A183" s="16" t="s">
        <v>20</v>
      </c>
      <c r="B183" s="1" t="s">
        <v>10</v>
      </c>
      <c r="C183" s="1">
        <v>275</v>
      </c>
      <c r="D183" s="3">
        <v>2.3709244666666667</v>
      </c>
      <c r="E183" s="2">
        <v>15.348344600000001</v>
      </c>
      <c r="F183" s="4">
        <v>74.063872000000003</v>
      </c>
      <c r="G183" s="13">
        <v>5.7221119999999956</v>
      </c>
    </row>
    <row r="184" spans="1:7" x14ac:dyDescent="0.3">
      <c r="A184" s="16" t="s">
        <v>20</v>
      </c>
      <c r="B184" s="1" t="s">
        <v>10</v>
      </c>
      <c r="C184" s="1">
        <v>272</v>
      </c>
      <c r="D184" s="3">
        <v>2.3160585</v>
      </c>
      <c r="E184" s="2">
        <v>14.891715599999999</v>
      </c>
      <c r="F184" s="4">
        <v>73.535488000000001</v>
      </c>
      <c r="G184" s="13">
        <v>6.2955520000000007</v>
      </c>
    </row>
    <row r="185" spans="1:7" x14ac:dyDescent="0.3">
      <c r="A185" s="16" t="s">
        <v>20</v>
      </c>
      <c r="B185" s="1" t="s">
        <v>10</v>
      </c>
      <c r="C185" s="1">
        <v>266</v>
      </c>
      <c r="D185" s="3">
        <v>1.9763451333333333</v>
      </c>
      <c r="E185" s="2">
        <v>15.9118434</v>
      </c>
      <c r="F185" s="4">
        <v>74.076160000000002</v>
      </c>
      <c r="G185" s="13">
        <v>6.1440000000000055</v>
      </c>
    </row>
    <row r="186" spans="1:7" x14ac:dyDescent="0.3">
      <c r="A186" s="16" t="s">
        <v>20</v>
      </c>
      <c r="B186" s="1" t="s">
        <v>10</v>
      </c>
      <c r="C186" s="1">
        <v>265</v>
      </c>
      <c r="D186" s="3">
        <v>2.4802786333333331</v>
      </c>
      <c r="E186" s="2">
        <v>14.5102326</v>
      </c>
      <c r="F186" s="4">
        <v>73.564160000000001</v>
      </c>
      <c r="G186" s="13">
        <v>6.2259200000000021</v>
      </c>
    </row>
    <row r="187" spans="1:7" x14ac:dyDescent="0.3">
      <c r="A187" s="16" t="s">
        <v>20</v>
      </c>
      <c r="B187" s="1" t="s">
        <v>10</v>
      </c>
      <c r="C187" s="1">
        <v>287</v>
      </c>
      <c r="D187" s="3">
        <v>2.2569140000000001</v>
      </c>
      <c r="E187" s="2">
        <v>13.918685999999999</v>
      </c>
      <c r="F187" s="4">
        <v>73.428991999999994</v>
      </c>
      <c r="G187" s="13">
        <v>4.2106880000000046</v>
      </c>
    </row>
    <row r="188" spans="1:7" x14ac:dyDescent="0.3">
      <c r="A188" s="16" t="s">
        <v>20</v>
      </c>
      <c r="B188" s="1" t="s">
        <v>10</v>
      </c>
      <c r="C188" s="1">
        <v>259</v>
      </c>
      <c r="D188" s="3">
        <v>2.4516914666666669</v>
      </c>
      <c r="E188" s="2">
        <v>14.422959799999999</v>
      </c>
      <c r="F188" s="4">
        <v>73.920512000000002</v>
      </c>
      <c r="G188" s="13">
        <v>6.4716799999999921</v>
      </c>
    </row>
    <row r="189" spans="1:7" x14ac:dyDescent="0.3">
      <c r="A189" s="16" t="s">
        <v>20</v>
      </c>
      <c r="B189" s="1" t="s">
        <v>10</v>
      </c>
      <c r="C189" s="1">
        <v>267</v>
      </c>
      <c r="D189" s="3">
        <v>2.4882056333333331</v>
      </c>
      <c r="E189" s="2">
        <v>13.977071199999999</v>
      </c>
      <c r="F189" s="4">
        <v>73.482240000000004</v>
      </c>
      <c r="G189" s="13">
        <v>4.9111039999999946</v>
      </c>
    </row>
    <row r="190" spans="1:7" x14ac:dyDescent="0.3">
      <c r="A190" s="16" t="s">
        <v>20</v>
      </c>
      <c r="B190" s="1" t="s">
        <v>10</v>
      </c>
      <c r="C190" s="1">
        <v>281</v>
      </c>
      <c r="D190" s="3">
        <v>2.6756250000000001</v>
      </c>
      <c r="E190" s="2">
        <v>14.4462338</v>
      </c>
      <c r="F190" s="4">
        <v>73.625600000000006</v>
      </c>
      <c r="G190" s="13">
        <v>4.5424639999999954</v>
      </c>
    </row>
    <row r="191" spans="1:7" x14ac:dyDescent="0.3">
      <c r="A191" s="16" t="s">
        <v>20</v>
      </c>
      <c r="B191" s="1" t="s">
        <v>10</v>
      </c>
      <c r="C191" s="1">
        <v>276</v>
      </c>
      <c r="D191" s="3">
        <v>2.4550989666666667</v>
      </c>
      <c r="E191" s="2">
        <v>15.091836600000001</v>
      </c>
      <c r="F191" s="4">
        <v>73.547775999999999</v>
      </c>
      <c r="G191" s="13">
        <v>6.1480959999999953</v>
      </c>
    </row>
    <row r="192" spans="1:7" x14ac:dyDescent="0.3">
      <c r="A192" s="16" t="s">
        <v>20</v>
      </c>
      <c r="B192" s="1" t="s">
        <v>10</v>
      </c>
      <c r="C192" s="1">
        <v>271</v>
      </c>
      <c r="D192" s="3">
        <v>2.4700820999999999</v>
      </c>
      <c r="E192" s="2">
        <v>14.381187199999999</v>
      </c>
      <c r="F192" s="4">
        <v>73.633792</v>
      </c>
      <c r="G192" s="13">
        <v>4.2147839999999945</v>
      </c>
    </row>
    <row r="193" spans="1:7" x14ac:dyDescent="0.3">
      <c r="A193" s="16" t="s">
        <v>20</v>
      </c>
      <c r="B193" s="1" t="s">
        <v>10</v>
      </c>
      <c r="C193" s="1">
        <v>276</v>
      </c>
      <c r="D193" s="3">
        <v>2.0339739666666667</v>
      </c>
      <c r="E193" s="2">
        <v>14.513735199999999</v>
      </c>
      <c r="F193" s="4">
        <v>74.620928000000006</v>
      </c>
      <c r="G193" s="13">
        <v>5.6524799999999971</v>
      </c>
    </row>
    <row r="194" spans="1:7" x14ac:dyDescent="0.3">
      <c r="A194" s="16" t="s">
        <v>20</v>
      </c>
      <c r="B194" s="1" t="s">
        <v>10</v>
      </c>
      <c r="C194" s="1">
        <v>255</v>
      </c>
      <c r="D194" s="3">
        <v>2.4989232333333335</v>
      </c>
      <c r="E194" s="2">
        <v>14.827007800000001</v>
      </c>
      <c r="F194" s="4">
        <v>73.433087999999998</v>
      </c>
      <c r="G194" s="13">
        <v>6.2996480000000048</v>
      </c>
    </row>
    <row r="195" spans="1:7" x14ac:dyDescent="0.3">
      <c r="A195" s="16" t="s">
        <v>20</v>
      </c>
      <c r="B195" s="1" t="s">
        <v>10</v>
      </c>
      <c r="C195" s="1">
        <v>268</v>
      </c>
      <c r="D195" s="3">
        <v>2.7010572333333336</v>
      </c>
      <c r="E195" s="2">
        <v>15.350296800000001</v>
      </c>
      <c r="F195" s="4">
        <v>73.060351999999995</v>
      </c>
      <c r="G195" s="13">
        <v>6.7174400000000105</v>
      </c>
    </row>
    <row r="196" spans="1:7" x14ac:dyDescent="0.3">
      <c r="A196" s="16" t="s">
        <v>20</v>
      </c>
      <c r="B196" s="1" t="s">
        <v>10</v>
      </c>
      <c r="C196" s="1">
        <v>281</v>
      </c>
      <c r="D196" s="3">
        <v>2.2357968666666665</v>
      </c>
      <c r="E196" s="2">
        <v>14.9071584</v>
      </c>
      <c r="F196" s="4">
        <v>73.424896000000004</v>
      </c>
      <c r="G196" s="13">
        <v>6.3897599999999954</v>
      </c>
    </row>
    <row r="197" spans="1:7" x14ac:dyDescent="0.3">
      <c r="A197" s="16" t="s">
        <v>20</v>
      </c>
      <c r="B197" s="1" t="s">
        <v>10</v>
      </c>
      <c r="C197" s="1">
        <v>267</v>
      </c>
      <c r="D197" s="3">
        <v>2.0749011333333334</v>
      </c>
      <c r="E197" s="2">
        <v>14.3438582</v>
      </c>
      <c r="F197" s="4">
        <v>73.400319999999994</v>
      </c>
      <c r="G197" s="13">
        <v>5.7753600000000063</v>
      </c>
    </row>
    <row r="198" spans="1:7" x14ac:dyDescent="0.3">
      <c r="A198" s="16" t="s">
        <v>20</v>
      </c>
      <c r="B198" s="1" t="s">
        <v>10</v>
      </c>
      <c r="C198" s="1">
        <v>282</v>
      </c>
      <c r="D198" s="3">
        <v>2.433559966666667</v>
      </c>
      <c r="E198" s="2">
        <v>14.034462400000001</v>
      </c>
      <c r="F198" s="4">
        <v>75.714560000000006</v>
      </c>
      <c r="G198" s="13">
        <v>2.4575999999999993</v>
      </c>
    </row>
    <row r="199" spans="1:7" x14ac:dyDescent="0.3">
      <c r="A199" s="16" t="s">
        <v>20</v>
      </c>
      <c r="B199" s="1" t="s">
        <v>10</v>
      </c>
      <c r="C199" s="1">
        <v>269</v>
      </c>
      <c r="D199" s="3">
        <v>1.7184270333333334</v>
      </c>
      <c r="E199" s="2">
        <v>13.619451</v>
      </c>
      <c r="F199" s="4">
        <v>73.519103999999999</v>
      </c>
      <c r="G199" s="13">
        <v>6.3201279999999969</v>
      </c>
    </row>
    <row r="200" spans="1:7" x14ac:dyDescent="0.3">
      <c r="A200" s="16" t="s">
        <v>20</v>
      </c>
      <c r="B200" s="1" t="s">
        <v>10</v>
      </c>
      <c r="C200" s="1">
        <v>253</v>
      </c>
      <c r="D200" s="3">
        <v>2.0161224333333334</v>
      </c>
      <c r="E200" s="2">
        <v>15.340037799999999</v>
      </c>
      <c r="F200" s="4">
        <v>73.433087999999998</v>
      </c>
      <c r="G200" s="13">
        <v>6.4266240000000039</v>
      </c>
    </row>
    <row r="201" spans="1:7" x14ac:dyDescent="0.3">
      <c r="A201" s="16" t="s">
        <v>20</v>
      </c>
      <c r="B201" s="1" t="s">
        <v>10</v>
      </c>
      <c r="C201" s="1">
        <v>259</v>
      </c>
      <c r="D201" s="3">
        <v>1.7229544666666665</v>
      </c>
      <c r="E201" s="2">
        <v>12.1898432</v>
      </c>
      <c r="F201" s="4">
        <v>72.998912000000004</v>
      </c>
      <c r="G201" s="13">
        <v>6.344703999999993</v>
      </c>
    </row>
    <row r="202" spans="1:7" x14ac:dyDescent="0.3">
      <c r="A202" s="16" t="s">
        <v>20</v>
      </c>
      <c r="B202" s="1" t="s">
        <v>10</v>
      </c>
      <c r="C202" s="1">
        <v>264</v>
      </c>
      <c r="D202" s="3">
        <v>1.755638</v>
      </c>
      <c r="E202" s="2">
        <v>13.8940532</v>
      </c>
      <c r="F202" s="4">
        <v>73.576447999999999</v>
      </c>
      <c r="G202" s="13">
        <v>6.2955520000000007</v>
      </c>
    </row>
    <row r="203" spans="1:7" x14ac:dyDescent="0.3">
      <c r="A203" s="16" t="s">
        <v>20</v>
      </c>
      <c r="B203" s="1" t="s">
        <v>10</v>
      </c>
      <c r="C203" s="1">
        <v>261</v>
      </c>
      <c r="D203" s="3">
        <v>2.5565845999999999</v>
      </c>
      <c r="E203" s="2">
        <v>15.397586</v>
      </c>
      <c r="F203" s="4">
        <v>74.010624000000007</v>
      </c>
      <c r="G203" s="13">
        <v>5.1814399999999949</v>
      </c>
    </row>
    <row r="204" spans="1:7" x14ac:dyDescent="0.3">
      <c r="A204" s="16" t="s">
        <v>20</v>
      </c>
      <c r="B204" s="1" t="s">
        <v>10</v>
      </c>
      <c r="C204" s="1">
        <v>283</v>
      </c>
      <c r="D204" s="3">
        <v>2.5989857000000001</v>
      </c>
      <c r="E204" s="2">
        <v>15.4602436</v>
      </c>
      <c r="F204" s="4">
        <v>73.474047999999996</v>
      </c>
      <c r="G204" s="13">
        <v>6.8771839999999997</v>
      </c>
    </row>
    <row r="205" spans="1:7" x14ac:dyDescent="0.3">
      <c r="A205" s="16" t="s">
        <v>20</v>
      </c>
      <c r="B205" s="1" t="s">
        <v>10</v>
      </c>
      <c r="C205" s="1">
        <v>279</v>
      </c>
      <c r="D205" s="3">
        <v>2.2905168666666667</v>
      </c>
      <c r="E205" s="2">
        <v>15.1434368</v>
      </c>
      <c r="F205" s="4">
        <v>73.478144</v>
      </c>
      <c r="G205" s="13">
        <v>6.3119360000000029</v>
      </c>
    </row>
    <row r="206" spans="1:7" x14ac:dyDescent="0.3">
      <c r="A206" s="16" t="s">
        <v>20</v>
      </c>
      <c r="B206" s="1" t="s">
        <v>10</v>
      </c>
      <c r="C206" s="1">
        <v>261</v>
      </c>
      <c r="D206" s="3">
        <v>2.194989566666667</v>
      </c>
      <c r="E206" s="2">
        <v>14.2771268</v>
      </c>
      <c r="F206" s="4">
        <v>73.601023999999995</v>
      </c>
      <c r="G206" s="13">
        <v>6.1399040000000014</v>
      </c>
    </row>
    <row r="207" spans="1:7" x14ac:dyDescent="0.3">
      <c r="A207" s="16" t="s">
        <v>20</v>
      </c>
      <c r="B207" s="1" t="s">
        <v>10</v>
      </c>
      <c r="C207" s="1">
        <v>253</v>
      </c>
      <c r="D207" s="3">
        <v>2.3926289666666669</v>
      </c>
      <c r="E207" s="2">
        <v>15.0662036</v>
      </c>
      <c r="F207" s="4">
        <v>72.933375999999996</v>
      </c>
      <c r="G207" s="13">
        <v>6.4593920000000082</v>
      </c>
    </row>
    <row r="208" spans="1:7" x14ac:dyDescent="0.3">
      <c r="A208" s="16" t="s">
        <v>20</v>
      </c>
      <c r="B208" s="1" t="s">
        <v>10</v>
      </c>
      <c r="C208" s="1">
        <v>270</v>
      </c>
      <c r="D208" s="3">
        <v>2.1218516666666667</v>
      </c>
      <c r="E208" s="2">
        <v>13.6197812</v>
      </c>
      <c r="F208" s="4">
        <v>73.510912000000005</v>
      </c>
      <c r="G208" s="13">
        <v>6.2504959999999983</v>
      </c>
    </row>
    <row r="209" spans="1:7" x14ac:dyDescent="0.3">
      <c r="A209" s="16" t="s">
        <v>20</v>
      </c>
      <c r="B209" s="1" t="s">
        <v>10</v>
      </c>
      <c r="C209" s="1">
        <v>270</v>
      </c>
      <c r="D209" s="3">
        <v>2.9253137666666666</v>
      </c>
      <c r="E209" s="2">
        <v>15.069132400000001</v>
      </c>
      <c r="F209" s="4">
        <v>73.658367999999996</v>
      </c>
      <c r="G209" s="13">
        <v>5.5787520000000086</v>
      </c>
    </row>
    <row r="210" spans="1:7" x14ac:dyDescent="0.3">
      <c r="A210" s="16" t="s">
        <v>20</v>
      </c>
      <c r="B210" s="1" t="s">
        <v>10</v>
      </c>
      <c r="C210" s="1">
        <v>256</v>
      </c>
      <c r="D210" s="3">
        <v>2.0669621999999999</v>
      </c>
      <c r="E210" s="2">
        <v>14.2187476</v>
      </c>
      <c r="F210" s="4">
        <v>73.510912000000005</v>
      </c>
      <c r="G210" s="13">
        <v>5.6688639999999992</v>
      </c>
    </row>
    <row r="211" spans="1:7" x14ac:dyDescent="0.3">
      <c r="A211" s="16" t="s">
        <v>20</v>
      </c>
      <c r="B211" s="1" t="s">
        <v>10</v>
      </c>
      <c r="C211" s="1">
        <v>264</v>
      </c>
      <c r="D211" s="3">
        <v>2.2859727666666667</v>
      </c>
      <c r="E211" s="2">
        <v>14.564249200000001</v>
      </c>
      <c r="F211" s="4">
        <v>71.397375999999994</v>
      </c>
      <c r="G211" s="13">
        <v>8.3558400000000006</v>
      </c>
    </row>
    <row r="212" spans="1:7" x14ac:dyDescent="0.3">
      <c r="A212" s="16" t="s">
        <v>20</v>
      </c>
      <c r="B212" s="1" t="s">
        <v>11</v>
      </c>
      <c r="C212" s="1">
        <v>281</v>
      </c>
      <c r="D212" s="3">
        <v>144.08827343333334</v>
      </c>
      <c r="E212" s="2">
        <v>7.7799912000000004</v>
      </c>
      <c r="F212" s="4">
        <v>71.335936000000004</v>
      </c>
      <c r="G212" s="13">
        <v>3.1129600000000011</v>
      </c>
    </row>
    <row r="213" spans="1:7" x14ac:dyDescent="0.3">
      <c r="A213" s="16" t="s">
        <v>20</v>
      </c>
      <c r="B213" s="1" t="s">
        <v>11</v>
      </c>
      <c r="C213" s="1">
        <v>273</v>
      </c>
      <c r="D213" s="3">
        <v>125.31791013333334</v>
      </c>
      <c r="E213" s="2">
        <v>10.2742106</v>
      </c>
      <c r="F213" s="4">
        <v>71.360512</v>
      </c>
      <c r="G213" s="13">
        <v>3.1866880000000037</v>
      </c>
    </row>
    <row r="214" spans="1:7" x14ac:dyDescent="0.3">
      <c r="A214" s="16" t="s">
        <v>20</v>
      </c>
      <c r="B214" s="1" t="s">
        <v>11</v>
      </c>
      <c r="C214" s="1">
        <v>322</v>
      </c>
      <c r="D214" s="3">
        <v>135.62283066666666</v>
      </c>
      <c r="E214" s="2">
        <v>8.0110290000000006</v>
      </c>
      <c r="F214" s="4">
        <v>73.543679999999995</v>
      </c>
      <c r="G214" s="13">
        <v>1.6302080000000103</v>
      </c>
    </row>
    <row r="215" spans="1:7" x14ac:dyDescent="0.3">
      <c r="A215" s="16" t="s">
        <v>20</v>
      </c>
      <c r="B215" s="1" t="s">
        <v>11</v>
      </c>
      <c r="C215" s="1">
        <v>268</v>
      </c>
      <c r="D215" s="3">
        <v>104.03813406666666</v>
      </c>
      <c r="E215" s="2">
        <v>8.0601406000000004</v>
      </c>
      <c r="F215" s="4">
        <v>71.479296000000005</v>
      </c>
      <c r="G215" s="13">
        <v>3.1375359999999972</v>
      </c>
    </row>
    <row r="216" spans="1:7" x14ac:dyDescent="0.3">
      <c r="A216" s="16" t="s">
        <v>20</v>
      </c>
      <c r="B216" s="1" t="s">
        <v>11</v>
      </c>
      <c r="C216" s="1">
        <v>267</v>
      </c>
      <c r="D216" s="3">
        <v>99.068723966666667</v>
      </c>
      <c r="E216" s="2">
        <v>7.4475233999999997</v>
      </c>
      <c r="F216" s="4">
        <v>71.303167999999999</v>
      </c>
      <c r="G216" s="13">
        <v>3.2808959999999985</v>
      </c>
    </row>
    <row r="217" spans="1:7" x14ac:dyDescent="0.3">
      <c r="A217" s="16" t="s">
        <v>20</v>
      </c>
      <c r="B217" s="1" t="s">
        <v>11</v>
      </c>
      <c r="C217" s="1">
        <v>280</v>
      </c>
      <c r="D217" s="3">
        <v>138.23851169999998</v>
      </c>
      <c r="E217" s="2">
        <v>7.8352338000000001</v>
      </c>
      <c r="F217" s="4">
        <v>71.958528000000001</v>
      </c>
      <c r="G217" s="13">
        <v>2.4903680000000037</v>
      </c>
    </row>
    <row r="218" spans="1:7" x14ac:dyDescent="0.3">
      <c r="A218" s="16" t="s">
        <v>20</v>
      </c>
      <c r="B218" s="1" t="s">
        <v>11</v>
      </c>
      <c r="C218" s="1">
        <v>255</v>
      </c>
      <c r="D218" s="3">
        <v>130.65395053333333</v>
      </c>
      <c r="E218" s="2">
        <v>9.0148282000000002</v>
      </c>
      <c r="F218" s="4">
        <v>71.958528000000001</v>
      </c>
      <c r="G218" s="13">
        <v>3.0146560000000022</v>
      </c>
    </row>
    <row r="219" spans="1:7" x14ac:dyDescent="0.3">
      <c r="A219" s="16" t="s">
        <v>20</v>
      </c>
      <c r="B219" s="1" t="s">
        <v>11</v>
      </c>
      <c r="C219" s="1">
        <v>265</v>
      </c>
      <c r="D219" s="3">
        <v>118.46512636666667</v>
      </c>
      <c r="E219" s="2">
        <v>8.5182023999999998</v>
      </c>
      <c r="F219" s="4">
        <v>71.909375999999995</v>
      </c>
      <c r="G219" s="13">
        <v>3.0638080000000087</v>
      </c>
    </row>
    <row r="220" spans="1:7" x14ac:dyDescent="0.3">
      <c r="A220" s="16" t="s">
        <v>20</v>
      </c>
      <c r="B220" s="1" t="s">
        <v>11</v>
      </c>
      <c r="C220" s="1">
        <v>262</v>
      </c>
      <c r="D220" s="3">
        <v>132.53821226666668</v>
      </c>
      <c r="E220" s="2">
        <v>6.8766644000000001</v>
      </c>
      <c r="F220" s="4">
        <v>71.942143999999999</v>
      </c>
      <c r="G220" s="13">
        <v>2.5067520000000059</v>
      </c>
    </row>
    <row r="221" spans="1:7" x14ac:dyDescent="0.3">
      <c r="A221" s="16" t="s">
        <v>20</v>
      </c>
      <c r="B221" s="1" t="s">
        <v>11</v>
      </c>
      <c r="C221" s="1">
        <v>259</v>
      </c>
      <c r="D221" s="3">
        <v>124.26493243333334</v>
      </c>
      <c r="E221" s="2">
        <v>8.0703911999999995</v>
      </c>
      <c r="F221" s="4">
        <v>71.483391999999995</v>
      </c>
      <c r="G221" s="13">
        <v>3.1088640000000112</v>
      </c>
    </row>
    <row r="222" spans="1:7" x14ac:dyDescent="0.3">
      <c r="A222" s="16" t="s">
        <v>20</v>
      </c>
      <c r="B222" s="1" t="s">
        <v>11</v>
      </c>
      <c r="C222" s="1">
        <v>256</v>
      </c>
      <c r="D222" s="3">
        <v>103.97866409999999</v>
      </c>
      <c r="E222" s="2">
        <v>8.2246254000000008</v>
      </c>
      <c r="F222" s="4">
        <v>72.564735999999996</v>
      </c>
      <c r="G222" s="13">
        <v>2.0602879999999999</v>
      </c>
    </row>
    <row r="223" spans="1:7" x14ac:dyDescent="0.3">
      <c r="A223" s="16" t="s">
        <v>20</v>
      </c>
      <c r="B223" s="1" t="s">
        <v>11</v>
      </c>
      <c r="C223" s="1">
        <v>342</v>
      </c>
      <c r="D223" s="3">
        <v>136.28198830000002</v>
      </c>
      <c r="E223" s="2">
        <v>7.9951476000000001</v>
      </c>
      <c r="F223" s="4">
        <v>71.360512</v>
      </c>
      <c r="G223" s="13">
        <v>3.0883840000000049</v>
      </c>
    </row>
    <row r="224" spans="1:7" x14ac:dyDescent="0.3">
      <c r="A224" s="16" t="s">
        <v>20</v>
      </c>
      <c r="B224" s="1" t="s">
        <v>11</v>
      </c>
      <c r="C224" s="1">
        <v>276</v>
      </c>
      <c r="D224" s="3">
        <v>106.3900704</v>
      </c>
      <c r="E224" s="2">
        <v>9.1310307999999996</v>
      </c>
      <c r="F224" s="4">
        <v>71.315455999999998</v>
      </c>
      <c r="G224" s="13">
        <v>3.1989760000000018</v>
      </c>
    </row>
    <row r="225" spans="1:7" x14ac:dyDescent="0.3">
      <c r="A225" s="16" t="s">
        <v>20</v>
      </c>
      <c r="B225" s="1" t="s">
        <v>11</v>
      </c>
      <c r="C225" s="1">
        <v>262</v>
      </c>
      <c r="D225" s="3">
        <v>140.79108196666667</v>
      </c>
      <c r="E225" s="2">
        <v>10.65043</v>
      </c>
      <c r="F225" s="4">
        <v>71.499775999999997</v>
      </c>
      <c r="G225" s="13">
        <v>2.9491200000000077</v>
      </c>
    </row>
    <row r="226" spans="1:7" x14ac:dyDescent="0.3">
      <c r="A226" s="16" t="s">
        <v>20</v>
      </c>
      <c r="B226" s="1" t="s">
        <v>11</v>
      </c>
      <c r="C226" s="1">
        <v>275</v>
      </c>
      <c r="D226" s="3">
        <v>123.3289975</v>
      </c>
      <c r="E226" s="2">
        <v>7.6683377999999998</v>
      </c>
      <c r="F226" s="4">
        <v>72.003584000000004</v>
      </c>
      <c r="G226" s="13">
        <v>2.4453120000000013</v>
      </c>
    </row>
    <row r="227" spans="1:7" x14ac:dyDescent="0.3">
      <c r="A227" s="16" t="s">
        <v>20</v>
      </c>
      <c r="B227" s="1" t="s">
        <v>11</v>
      </c>
      <c r="C227" s="1">
        <v>309</v>
      </c>
      <c r="D227" s="3">
        <v>138.91795180000003</v>
      </c>
      <c r="E227" s="2">
        <v>10.190110600000001</v>
      </c>
      <c r="F227" s="4">
        <v>71.962624000000005</v>
      </c>
      <c r="G227" s="13">
        <v>2.0193280000000016</v>
      </c>
    </row>
    <row r="228" spans="1:7" x14ac:dyDescent="0.3">
      <c r="A228" s="16" t="s">
        <v>20</v>
      </c>
      <c r="B228" s="1" t="s">
        <v>11</v>
      </c>
      <c r="C228" s="1">
        <v>286</v>
      </c>
      <c r="D228" s="3">
        <v>130.3054453</v>
      </c>
      <c r="E228" s="2">
        <v>13.6797494</v>
      </c>
      <c r="F228" s="4">
        <v>72.159232000000003</v>
      </c>
      <c r="G228" s="13">
        <v>2.8631039999999928</v>
      </c>
    </row>
    <row r="229" spans="1:7" x14ac:dyDescent="0.3">
      <c r="A229" s="16" t="s">
        <v>20</v>
      </c>
      <c r="B229" s="1" t="s">
        <v>11</v>
      </c>
      <c r="C229" s="1">
        <v>264</v>
      </c>
      <c r="D229" s="3">
        <v>136.62156110000001</v>
      </c>
      <c r="E229" s="2">
        <v>9.1176952</v>
      </c>
      <c r="F229" s="4">
        <v>71.446528000000001</v>
      </c>
      <c r="G229" s="13">
        <v>3.1170560000000052</v>
      </c>
    </row>
    <row r="230" spans="1:7" x14ac:dyDescent="0.3">
      <c r="A230" s="16" t="s">
        <v>20</v>
      </c>
      <c r="B230" s="1" t="s">
        <v>11</v>
      </c>
      <c r="C230" s="1">
        <v>257</v>
      </c>
      <c r="D230" s="3">
        <v>95.392886733333327</v>
      </c>
      <c r="E230" s="2">
        <v>6.8930856</v>
      </c>
      <c r="F230" s="4">
        <v>71.831552000000002</v>
      </c>
      <c r="G230" s="13">
        <v>2.8262399999999985</v>
      </c>
    </row>
    <row r="231" spans="1:7" x14ac:dyDescent="0.3">
      <c r="A231" s="16" t="s">
        <v>20</v>
      </c>
      <c r="B231" s="1" t="s">
        <v>11</v>
      </c>
      <c r="C231" s="1">
        <v>268</v>
      </c>
      <c r="D231" s="3">
        <v>119.08989066666668</v>
      </c>
      <c r="E231" s="2">
        <v>8.3661264000000006</v>
      </c>
      <c r="F231" s="4">
        <v>71.483391999999995</v>
      </c>
      <c r="G231" s="13">
        <v>3.0679039999999986</v>
      </c>
    </row>
    <row r="232" spans="1:7" x14ac:dyDescent="0.3">
      <c r="A232" s="16" t="s">
        <v>20</v>
      </c>
      <c r="B232" s="1" t="s">
        <v>11</v>
      </c>
      <c r="C232" s="1">
        <v>262</v>
      </c>
      <c r="D232" s="3">
        <v>137.44160023333333</v>
      </c>
      <c r="E232" s="2">
        <v>13.008437199999999</v>
      </c>
      <c r="F232" s="4">
        <v>72.364031999999995</v>
      </c>
      <c r="G232" s="13">
        <v>2.6132479999999987</v>
      </c>
    </row>
    <row r="233" spans="1:7" x14ac:dyDescent="0.3">
      <c r="A233" s="16" t="s">
        <v>20</v>
      </c>
      <c r="B233" s="1" t="s">
        <v>11</v>
      </c>
      <c r="C233" s="1">
        <v>279</v>
      </c>
      <c r="D233" s="3">
        <v>95.674494766666669</v>
      </c>
      <c r="E233" s="2">
        <v>9.1983049999999995</v>
      </c>
      <c r="F233" s="4">
        <v>71.962624000000005</v>
      </c>
      <c r="G233" s="13">
        <v>2.5886719999999883</v>
      </c>
    </row>
    <row r="234" spans="1:7" x14ac:dyDescent="0.3">
      <c r="A234" s="16" t="s">
        <v>20</v>
      </c>
      <c r="B234" s="1" t="s">
        <v>11</v>
      </c>
      <c r="C234" s="1">
        <v>267</v>
      </c>
      <c r="D234" s="3">
        <v>105.3627955</v>
      </c>
      <c r="E234" s="2">
        <v>7.3888829999999999</v>
      </c>
      <c r="F234" s="4">
        <v>72.429568000000003</v>
      </c>
      <c r="G234" s="13">
        <v>3.1539199999999994</v>
      </c>
    </row>
    <row r="235" spans="1:7" x14ac:dyDescent="0.3">
      <c r="A235" s="16" t="s">
        <v>20</v>
      </c>
      <c r="B235" s="1" t="s">
        <v>11</v>
      </c>
      <c r="C235" s="1">
        <v>264</v>
      </c>
      <c r="D235" s="3">
        <v>139.84413666666666</v>
      </c>
      <c r="E235" s="2">
        <v>9.3017029999999998</v>
      </c>
      <c r="F235" s="4">
        <v>71.856127999999998</v>
      </c>
      <c r="G235" s="13">
        <v>3.2727040000000045</v>
      </c>
    </row>
    <row r="236" spans="1:7" x14ac:dyDescent="0.3">
      <c r="A236" s="16" t="s">
        <v>20</v>
      </c>
      <c r="B236" s="1" t="s">
        <v>11</v>
      </c>
      <c r="C236" s="1">
        <v>261</v>
      </c>
      <c r="D236" s="3">
        <v>102.0917383</v>
      </c>
      <c r="E236" s="2">
        <v>8.8992962000000002</v>
      </c>
      <c r="F236" s="4">
        <v>71.413759999999996</v>
      </c>
      <c r="G236" s="13">
        <v>3.2686080000000004</v>
      </c>
    </row>
    <row r="237" spans="1:7" x14ac:dyDescent="0.3">
      <c r="A237" s="16" t="s">
        <v>20</v>
      </c>
      <c r="B237" s="1" t="s">
        <v>11</v>
      </c>
      <c r="C237" s="1">
        <v>275</v>
      </c>
      <c r="D237" s="3">
        <v>137.03019276666669</v>
      </c>
      <c r="E237" s="2">
        <v>8.7260770000000001</v>
      </c>
      <c r="F237" s="4">
        <v>71.426047999999994</v>
      </c>
      <c r="G237" s="13">
        <v>2.6173440000000028</v>
      </c>
    </row>
    <row r="238" spans="1:7" x14ac:dyDescent="0.3">
      <c r="A238" s="16" t="s">
        <v>20</v>
      </c>
      <c r="B238" s="1" t="s">
        <v>11</v>
      </c>
      <c r="C238" s="1">
        <v>262</v>
      </c>
      <c r="D238" s="3">
        <v>139.05664196666666</v>
      </c>
      <c r="E238" s="2">
        <v>11.839226999999999</v>
      </c>
      <c r="F238" s="4">
        <v>71.512063999999995</v>
      </c>
      <c r="G238" s="13">
        <v>2.9368320000000097</v>
      </c>
    </row>
    <row r="239" spans="1:7" x14ac:dyDescent="0.3">
      <c r="A239" s="16" t="s">
        <v>20</v>
      </c>
      <c r="B239" s="1" t="s">
        <v>11</v>
      </c>
      <c r="C239" s="1">
        <v>260</v>
      </c>
      <c r="D239" s="3">
        <v>132.66083983333334</v>
      </c>
      <c r="E239" s="2">
        <v>6.9756092000000001</v>
      </c>
      <c r="F239" s="4">
        <v>71.495679999999993</v>
      </c>
      <c r="G239" s="13">
        <v>2.9532160000000118</v>
      </c>
    </row>
    <row r="240" spans="1:7" x14ac:dyDescent="0.3">
      <c r="A240" s="16" t="s">
        <v>20</v>
      </c>
      <c r="B240" s="1" t="s">
        <v>11</v>
      </c>
      <c r="C240" s="1">
        <v>260</v>
      </c>
      <c r="D240" s="3">
        <v>120.98108596666667</v>
      </c>
      <c r="E240" s="2">
        <v>8.0433362000000006</v>
      </c>
      <c r="F240" s="4">
        <v>71.467008000000007</v>
      </c>
      <c r="G240" s="13">
        <v>3.0433279999999883</v>
      </c>
    </row>
    <row r="241" spans="1:7" x14ac:dyDescent="0.3">
      <c r="A241" s="16" t="s">
        <v>20</v>
      </c>
      <c r="B241" s="1" t="s">
        <v>11</v>
      </c>
      <c r="C241" s="1">
        <v>263</v>
      </c>
      <c r="D241" s="3">
        <v>133.03562086666665</v>
      </c>
      <c r="E241" s="2">
        <v>9.9000616000000008</v>
      </c>
      <c r="F241" s="4">
        <v>71.327743999999996</v>
      </c>
      <c r="G241" s="13">
        <v>3.1211520000000093</v>
      </c>
    </row>
    <row r="242" spans="1:7" x14ac:dyDescent="0.3">
      <c r="A242" s="16" t="s">
        <v>20</v>
      </c>
      <c r="B242" s="1" t="s">
        <v>12</v>
      </c>
      <c r="C242" s="1">
        <v>330</v>
      </c>
      <c r="D242" s="3">
        <v>5.2027095999999995</v>
      </c>
      <c r="E242" s="2">
        <v>9.1097652</v>
      </c>
      <c r="F242" s="4">
        <v>71.421952000000005</v>
      </c>
      <c r="G242" s="13">
        <v>2.0234239999999915</v>
      </c>
    </row>
    <row r="243" spans="1:7" x14ac:dyDescent="0.3">
      <c r="A243" s="16" t="s">
        <v>20</v>
      </c>
      <c r="B243" s="1" t="s">
        <v>12</v>
      </c>
      <c r="C243" s="1">
        <v>316</v>
      </c>
      <c r="D243" s="3">
        <v>5.6443268666666659</v>
      </c>
      <c r="E243" s="2">
        <v>8.3153045999999993</v>
      </c>
      <c r="F243" s="4">
        <v>72.601600000000005</v>
      </c>
      <c r="G243" s="13">
        <v>2.0234239999999915</v>
      </c>
    </row>
    <row r="244" spans="1:7" x14ac:dyDescent="0.3">
      <c r="A244" s="16" t="s">
        <v>20</v>
      </c>
      <c r="B244" s="1" t="s">
        <v>12</v>
      </c>
      <c r="C244" s="1">
        <v>302</v>
      </c>
      <c r="D244" s="3">
        <v>6.7165935999999995</v>
      </c>
      <c r="E244" s="2">
        <v>13.0682502</v>
      </c>
      <c r="F244" s="4">
        <v>71.995391999999995</v>
      </c>
      <c r="G244" s="13">
        <v>1.5564800000000076</v>
      </c>
    </row>
    <row r="245" spans="1:7" x14ac:dyDescent="0.3">
      <c r="A245" s="16" t="s">
        <v>20</v>
      </c>
      <c r="B245" s="1" t="s">
        <v>12</v>
      </c>
      <c r="C245" s="1">
        <v>293</v>
      </c>
      <c r="D245" s="3">
        <v>7.7777016666666672</v>
      </c>
      <c r="E245" s="2">
        <v>12.892524</v>
      </c>
      <c r="F245" s="4">
        <v>71.372799999999998</v>
      </c>
      <c r="G245" s="13">
        <v>2.6132479999999987</v>
      </c>
    </row>
    <row r="246" spans="1:7" x14ac:dyDescent="0.3">
      <c r="A246" s="16" t="s">
        <v>20</v>
      </c>
      <c r="B246" s="1" t="s">
        <v>12</v>
      </c>
      <c r="C246" s="1">
        <v>276</v>
      </c>
      <c r="D246" s="3">
        <v>6.8208475999999996</v>
      </c>
      <c r="E246" s="2">
        <v>9.8429452000000008</v>
      </c>
      <c r="F246" s="4">
        <v>71.360512</v>
      </c>
      <c r="G246" s="13">
        <v>2.5640960000000064</v>
      </c>
    </row>
    <row r="247" spans="1:7" x14ac:dyDescent="0.3">
      <c r="A247" s="16" t="s">
        <v>20</v>
      </c>
      <c r="B247" s="1" t="s">
        <v>12</v>
      </c>
      <c r="C247" s="1">
        <v>292</v>
      </c>
      <c r="D247" s="3">
        <v>6.4711641666666671</v>
      </c>
      <c r="E247" s="2">
        <v>12.450139800000001</v>
      </c>
      <c r="F247" s="4">
        <v>71.974912000000003</v>
      </c>
      <c r="G247" s="13">
        <v>2.6296320000000009</v>
      </c>
    </row>
    <row r="248" spans="1:7" x14ac:dyDescent="0.3">
      <c r="A248" s="16" t="s">
        <v>20</v>
      </c>
      <c r="B248" s="1" t="s">
        <v>12</v>
      </c>
      <c r="C248" s="1">
        <v>291</v>
      </c>
      <c r="D248" s="3">
        <v>7.3562500000000002</v>
      </c>
      <c r="E248" s="2">
        <v>9.6795556000000005</v>
      </c>
      <c r="F248" s="4">
        <v>72.499200000000002</v>
      </c>
      <c r="G248" s="13">
        <v>1.6302079999999961</v>
      </c>
    </row>
    <row r="249" spans="1:7" x14ac:dyDescent="0.3">
      <c r="A249" s="16" t="s">
        <v>20</v>
      </c>
      <c r="B249" s="1" t="s">
        <v>12</v>
      </c>
      <c r="C249" s="1">
        <v>277</v>
      </c>
      <c r="D249" s="3">
        <v>7.7667212999999995</v>
      </c>
      <c r="E249" s="2">
        <v>9.6761104000000007</v>
      </c>
      <c r="F249" s="4">
        <v>72.085504</v>
      </c>
      <c r="G249" s="13">
        <v>2.4084479999999928</v>
      </c>
    </row>
    <row r="250" spans="1:7" x14ac:dyDescent="0.3">
      <c r="A250" s="16" t="s">
        <v>20</v>
      </c>
      <c r="B250" s="1" t="s">
        <v>12</v>
      </c>
      <c r="C250" s="1">
        <v>278</v>
      </c>
      <c r="D250" s="3">
        <v>7.9466810333333333</v>
      </c>
      <c r="E250" s="2">
        <v>12.334547600000001</v>
      </c>
      <c r="F250" s="4">
        <v>71.340031999999994</v>
      </c>
      <c r="G250" s="13">
        <v>2.7893760000000043</v>
      </c>
    </row>
    <row r="251" spans="1:7" x14ac:dyDescent="0.3">
      <c r="A251" s="16" t="s">
        <v>20</v>
      </c>
      <c r="B251" s="1" t="s">
        <v>12</v>
      </c>
      <c r="C251" s="1">
        <v>310</v>
      </c>
      <c r="D251" s="3">
        <v>7.841876366666666</v>
      </c>
      <c r="E251" s="2">
        <v>9.6678283999999994</v>
      </c>
      <c r="F251" s="4">
        <v>71.421952000000005</v>
      </c>
      <c r="G251" s="13">
        <v>2.6583040000000011</v>
      </c>
    </row>
    <row r="252" spans="1:7" x14ac:dyDescent="0.3">
      <c r="A252" s="16" t="s">
        <v>20</v>
      </c>
      <c r="B252" s="1" t="s">
        <v>12</v>
      </c>
      <c r="C252" s="1">
        <v>316</v>
      </c>
      <c r="D252" s="3">
        <v>8.2839948666666654</v>
      </c>
      <c r="E252" s="2">
        <v>13.820461</v>
      </c>
      <c r="F252" s="4">
        <v>71.467008000000007</v>
      </c>
      <c r="G252" s="13">
        <v>2.7197439999999915</v>
      </c>
    </row>
    <row r="253" spans="1:7" x14ac:dyDescent="0.3">
      <c r="A253" s="16" t="s">
        <v>20</v>
      </c>
      <c r="B253" s="1" t="s">
        <v>12</v>
      </c>
      <c r="C253" s="1">
        <v>300</v>
      </c>
      <c r="D253" s="3">
        <v>7.4421106666666672</v>
      </c>
      <c r="E253" s="2">
        <v>9.1896875999999992</v>
      </c>
      <c r="F253" s="4">
        <v>72.572928000000005</v>
      </c>
      <c r="G253" s="13">
        <v>2.1217279999999903</v>
      </c>
    </row>
    <row r="254" spans="1:7" x14ac:dyDescent="0.3">
      <c r="A254" s="16" t="s">
        <v>20</v>
      </c>
      <c r="B254" s="1" t="s">
        <v>12</v>
      </c>
      <c r="C254" s="1">
        <v>299</v>
      </c>
      <c r="D254" s="3">
        <v>8.3707462333333336</v>
      </c>
      <c r="E254" s="2">
        <v>14.150812800000001</v>
      </c>
      <c r="F254" s="4">
        <v>71.475200000000001</v>
      </c>
      <c r="G254" s="13">
        <v>2.6419199999999989</v>
      </c>
    </row>
    <row r="255" spans="1:7" x14ac:dyDescent="0.3">
      <c r="A255" s="16" t="s">
        <v>20</v>
      </c>
      <c r="B255" s="1" t="s">
        <v>12</v>
      </c>
      <c r="C255" s="1">
        <v>280</v>
      </c>
      <c r="D255" s="3">
        <v>7.7219271666666671</v>
      </c>
      <c r="E255" s="2">
        <v>12.164272800000001</v>
      </c>
      <c r="F255" s="4">
        <v>71.458815999999999</v>
      </c>
      <c r="G255" s="13">
        <v>2.4944640000000078</v>
      </c>
    </row>
    <row r="256" spans="1:7" x14ac:dyDescent="0.3">
      <c r="A256" s="16" t="s">
        <v>20</v>
      </c>
      <c r="B256" s="1" t="s">
        <v>12</v>
      </c>
      <c r="C256" s="1">
        <v>290</v>
      </c>
      <c r="D256" s="3">
        <v>5.9409388333333331</v>
      </c>
      <c r="E256" s="2">
        <v>10.4453774</v>
      </c>
      <c r="F256" s="4">
        <v>72.941568000000004</v>
      </c>
      <c r="G256" s="13">
        <v>1.5196159999999992</v>
      </c>
    </row>
    <row r="257" spans="1:7" x14ac:dyDescent="0.3">
      <c r="A257" s="16" t="s">
        <v>20</v>
      </c>
      <c r="B257" s="1" t="s">
        <v>12</v>
      </c>
      <c r="C257" s="1">
        <v>278</v>
      </c>
      <c r="D257" s="3">
        <v>7.4451289333333337</v>
      </c>
      <c r="E257" s="2">
        <v>13.4084918</v>
      </c>
      <c r="F257" s="4">
        <v>71.499775999999997</v>
      </c>
      <c r="G257" s="13">
        <v>2.4985599999999977</v>
      </c>
    </row>
    <row r="258" spans="1:7" x14ac:dyDescent="0.3">
      <c r="A258" s="16" t="s">
        <v>20</v>
      </c>
      <c r="B258" s="1" t="s">
        <v>12</v>
      </c>
      <c r="C258" s="1">
        <v>282</v>
      </c>
      <c r="D258" s="3">
        <v>7.8387591333333342</v>
      </c>
      <c r="E258" s="2">
        <v>10.2917112</v>
      </c>
      <c r="F258" s="4">
        <v>71.901184000000001</v>
      </c>
      <c r="G258" s="13">
        <v>2.3511039999999923</v>
      </c>
    </row>
    <row r="259" spans="1:7" x14ac:dyDescent="0.3">
      <c r="A259" s="16" t="s">
        <v>20</v>
      </c>
      <c r="B259" s="1" t="s">
        <v>12</v>
      </c>
      <c r="C259" s="1">
        <v>271</v>
      </c>
      <c r="D259" s="3">
        <v>7.816229166666667</v>
      </c>
      <c r="E259" s="2">
        <v>10.4212968</v>
      </c>
      <c r="F259" s="4">
        <v>71.356415999999996</v>
      </c>
      <c r="G259" s="13">
        <v>2.646016000000003</v>
      </c>
    </row>
    <row r="260" spans="1:7" x14ac:dyDescent="0.3">
      <c r="A260" s="16" t="s">
        <v>20</v>
      </c>
      <c r="B260" s="1" t="s">
        <v>12</v>
      </c>
      <c r="C260" s="1">
        <v>275</v>
      </c>
      <c r="D260" s="3">
        <v>8.4883749333333327</v>
      </c>
      <c r="E260" s="2">
        <v>13.5553116</v>
      </c>
      <c r="F260" s="4">
        <v>71.450624000000005</v>
      </c>
      <c r="G260" s="13">
        <v>2.4739840000000015</v>
      </c>
    </row>
    <row r="261" spans="1:7" x14ac:dyDescent="0.3">
      <c r="A261" s="16" t="s">
        <v>20</v>
      </c>
      <c r="B261" s="1" t="s">
        <v>12</v>
      </c>
      <c r="C261" s="1">
        <v>277</v>
      </c>
      <c r="D261" s="3">
        <v>6.967618466666667</v>
      </c>
      <c r="E261" s="2">
        <v>9.4051966</v>
      </c>
      <c r="F261" s="4">
        <v>72.454143999999999</v>
      </c>
      <c r="G261" s="13">
        <v>2.1094400000000064</v>
      </c>
    </row>
    <row r="262" spans="1:7" x14ac:dyDescent="0.3">
      <c r="A262" s="16" t="s">
        <v>20</v>
      </c>
      <c r="B262" s="1" t="s">
        <v>12</v>
      </c>
      <c r="C262" s="1">
        <v>268</v>
      </c>
      <c r="D262" s="3">
        <v>7.9064400999999993</v>
      </c>
      <c r="E262" s="2">
        <v>10.240054199999999</v>
      </c>
      <c r="F262" s="4">
        <v>72.081407999999996</v>
      </c>
      <c r="G262" s="13">
        <v>2.5190400000000039</v>
      </c>
    </row>
    <row r="263" spans="1:7" x14ac:dyDescent="0.3">
      <c r="A263" s="16" t="s">
        <v>20</v>
      </c>
      <c r="B263" s="1" t="s">
        <v>12</v>
      </c>
      <c r="C263" s="1">
        <v>268</v>
      </c>
      <c r="D263" s="3">
        <v>7.0933580999999997</v>
      </c>
      <c r="E263" s="2">
        <v>9.4313199999999995</v>
      </c>
      <c r="F263" s="4">
        <v>71.446528000000001</v>
      </c>
      <c r="G263" s="13">
        <v>2.5026560000000018</v>
      </c>
    </row>
    <row r="264" spans="1:7" x14ac:dyDescent="0.3">
      <c r="A264" s="16" t="s">
        <v>20</v>
      </c>
      <c r="B264" s="1" t="s">
        <v>12</v>
      </c>
      <c r="C264" s="1">
        <v>275</v>
      </c>
      <c r="D264" s="3">
        <v>7.7367745333333335</v>
      </c>
      <c r="E264" s="2">
        <v>11.3069516</v>
      </c>
      <c r="F264" s="4">
        <v>71.487487999999999</v>
      </c>
      <c r="G264" s="13">
        <v>2.5026560000000018</v>
      </c>
    </row>
    <row r="265" spans="1:7" x14ac:dyDescent="0.3">
      <c r="A265" s="16" t="s">
        <v>20</v>
      </c>
      <c r="B265" s="1" t="s">
        <v>12</v>
      </c>
      <c r="C265" s="1">
        <v>280</v>
      </c>
      <c r="D265" s="3">
        <v>7.8923554999999999</v>
      </c>
      <c r="E265" s="2">
        <v>9.0748122000000002</v>
      </c>
      <c r="F265" s="4">
        <v>71.540735999999995</v>
      </c>
      <c r="G265" s="13">
        <v>2.5600000000000023</v>
      </c>
    </row>
    <row r="266" spans="1:7" x14ac:dyDescent="0.3">
      <c r="A266" s="16" t="s">
        <v>20</v>
      </c>
      <c r="B266" s="1" t="s">
        <v>12</v>
      </c>
      <c r="C266" s="1">
        <v>279</v>
      </c>
      <c r="D266" s="3">
        <v>6.9564490000000001</v>
      </c>
      <c r="E266" s="2">
        <v>12.250696</v>
      </c>
      <c r="F266" s="4">
        <v>71.438336000000007</v>
      </c>
      <c r="G266" s="13">
        <v>2.5722880000000004</v>
      </c>
    </row>
    <row r="267" spans="1:7" x14ac:dyDescent="0.3">
      <c r="A267" s="16" t="s">
        <v>20</v>
      </c>
      <c r="B267" s="1" t="s">
        <v>12</v>
      </c>
      <c r="C267" s="1">
        <v>287</v>
      </c>
      <c r="D267" s="3">
        <v>6.4974882999999997</v>
      </c>
      <c r="E267" s="2">
        <v>13.156249600000001</v>
      </c>
      <c r="F267" s="4">
        <v>71.839743999999996</v>
      </c>
      <c r="G267" s="13">
        <v>2.7566079999999999</v>
      </c>
    </row>
    <row r="268" spans="1:7" x14ac:dyDescent="0.3">
      <c r="A268" s="16" t="s">
        <v>20</v>
      </c>
      <c r="B268" s="1" t="s">
        <v>12</v>
      </c>
      <c r="C268" s="1">
        <v>273</v>
      </c>
      <c r="D268" s="3">
        <v>7.7335507666666663</v>
      </c>
      <c r="E268" s="2">
        <v>9.9202423999999993</v>
      </c>
      <c r="F268" s="4">
        <v>71.827455999999998</v>
      </c>
      <c r="G268" s="13">
        <v>3.0883840000000049</v>
      </c>
    </row>
    <row r="269" spans="1:7" x14ac:dyDescent="0.3">
      <c r="A269" s="16" t="s">
        <v>20</v>
      </c>
      <c r="B269" s="1" t="s">
        <v>12</v>
      </c>
      <c r="C269" s="1">
        <v>278</v>
      </c>
      <c r="D269" s="3">
        <v>7.2675872000000004</v>
      </c>
      <c r="E269" s="2">
        <v>9.9552598000000003</v>
      </c>
      <c r="F269" s="4">
        <v>71.360512</v>
      </c>
      <c r="G269" s="13">
        <v>2.5804799999999943</v>
      </c>
    </row>
    <row r="270" spans="1:7" x14ac:dyDescent="0.3">
      <c r="A270" s="16" t="s">
        <v>20</v>
      </c>
      <c r="B270" s="1" t="s">
        <v>12</v>
      </c>
      <c r="C270" s="1">
        <v>290</v>
      </c>
      <c r="D270" s="3">
        <v>7.9569191333333338</v>
      </c>
      <c r="E270" s="2">
        <v>9.2507593999999997</v>
      </c>
      <c r="F270" s="4">
        <v>71.401471999999998</v>
      </c>
      <c r="G270" s="13">
        <v>2.6746880000000033</v>
      </c>
    </row>
    <row r="271" spans="1:7" x14ac:dyDescent="0.3">
      <c r="A271" s="16" t="s">
        <v>20</v>
      </c>
      <c r="B271" s="1" t="s">
        <v>12</v>
      </c>
      <c r="C271" s="1">
        <v>291</v>
      </c>
      <c r="D271" s="3">
        <v>7.8971810333333332</v>
      </c>
      <c r="E271" s="2">
        <v>13.614680399999999</v>
      </c>
      <c r="F271" s="4">
        <v>71.426047999999994</v>
      </c>
      <c r="G271" s="13">
        <v>2.51084800000001</v>
      </c>
    </row>
    <row r="272" spans="1:7" x14ac:dyDescent="0.3">
      <c r="A272" s="16" t="s">
        <v>20</v>
      </c>
      <c r="B272" s="1" t="s">
        <v>13</v>
      </c>
      <c r="C272" s="1">
        <v>379</v>
      </c>
      <c r="D272" s="3">
        <v>97.554414166666675</v>
      </c>
      <c r="E272" s="2">
        <v>19.904562200000001</v>
      </c>
      <c r="F272" s="4">
        <v>71.860224000000002</v>
      </c>
      <c r="G272" s="13">
        <v>10.592255999999992</v>
      </c>
    </row>
    <row r="273" spans="1:7" x14ac:dyDescent="0.3">
      <c r="A273" s="16" t="s">
        <v>20</v>
      </c>
      <c r="B273" s="1" t="s">
        <v>13</v>
      </c>
      <c r="C273" s="1">
        <v>281</v>
      </c>
      <c r="D273" s="3">
        <v>83.074341200000006</v>
      </c>
      <c r="E273" s="2">
        <v>18.399436999999999</v>
      </c>
      <c r="F273" s="4">
        <v>72.368127999999999</v>
      </c>
      <c r="G273" s="13">
        <v>5.9105279999999993</v>
      </c>
    </row>
    <row r="274" spans="1:7" x14ac:dyDescent="0.3">
      <c r="A274" s="16" t="s">
        <v>20</v>
      </c>
      <c r="B274" s="1" t="s">
        <v>13</v>
      </c>
      <c r="C274" s="1">
        <v>282</v>
      </c>
      <c r="D274" s="3">
        <v>100.04514716666667</v>
      </c>
      <c r="E274" s="2">
        <v>18.796546200000002</v>
      </c>
      <c r="F274" s="4">
        <v>72.577023999999994</v>
      </c>
      <c r="G274" s="13">
        <v>10.264576000000005</v>
      </c>
    </row>
    <row r="275" spans="1:7" x14ac:dyDescent="0.3">
      <c r="A275" s="16" t="s">
        <v>20</v>
      </c>
      <c r="B275" s="1" t="s">
        <v>13</v>
      </c>
      <c r="C275" s="1">
        <v>291</v>
      </c>
      <c r="D275" s="3">
        <v>99.022455600000001</v>
      </c>
      <c r="E275" s="2">
        <v>19.904055199999998</v>
      </c>
      <c r="F275" s="4">
        <v>71.507968000000005</v>
      </c>
      <c r="G275" s="13">
        <v>10.301439999999999</v>
      </c>
    </row>
    <row r="276" spans="1:7" x14ac:dyDescent="0.3">
      <c r="A276" s="16" t="s">
        <v>20</v>
      </c>
      <c r="B276" s="1" t="s">
        <v>13</v>
      </c>
      <c r="C276" s="1">
        <v>281</v>
      </c>
      <c r="D276" s="3">
        <v>82.759558599999991</v>
      </c>
      <c r="E276" s="2">
        <v>18.523334999999999</v>
      </c>
      <c r="F276" s="4">
        <v>71.872512</v>
      </c>
      <c r="G276" s="13">
        <v>6.5044479999999965</v>
      </c>
    </row>
    <row r="277" spans="1:7" x14ac:dyDescent="0.3">
      <c r="A277" s="16" t="s">
        <v>20</v>
      </c>
      <c r="B277" s="1" t="s">
        <v>13</v>
      </c>
      <c r="C277" s="1">
        <v>271</v>
      </c>
      <c r="D277" s="3">
        <v>97.23488016666667</v>
      </c>
      <c r="E277" s="2">
        <v>19.0041476</v>
      </c>
      <c r="F277" s="4">
        <v>72.486912000000004</v>
      </c>
      <c r="G277" s="13">
        <v>10.072063999999997</v>
      </c>
    </row>
    <row r="278" spans="1:7" x14ac:dyDescent="0.3">
      <c r="A278" s="16" t="s">
        <v>20</v>
      </c>
      <c r="B278" s="1" t="s">
        <v>13</v>
      </c>
      <c r="C278" s="1">
        <v>269</v>
      </c>
      <c r="D278" s="3">
        <v>81.820354099999989</v>
      </c>
      <c r="E278" s="2">
        <v>19.690820200000001</v>
      </c>
      <c r="F278" s="4">
        <v>71.561216000000002</v>
      </c>
      <c r="G278" s="13">
        <v>7.258111999999997</v>
      </c>
    </row>
    <row r="279" spans="1:7" x14ac:dyDescent="0.3">
      <c r="A279" s="16" t="s">
        <v>20</v>
      </c>
      <c r="B279" s="1" t="s">
        <v>13</v>
      </c>
      <c r="C279" s="1">
        <v>268</v>
      </c>
      <c r="D279" s="3">
        <v>99.862660300000002</v>
      </c>
      <c r="E279" s="2">
        <v>20.7651106</v>
      </c>
      <c r="F279" s="4">
        <v>71.827455999999998</v>
      </c>
      <c r="G279" s="13">
        <v>10.727423999999999</v>
      </c>
    </row>
    <row r="280" spans="1:7" x14ac:dyDescent="0.3">
      <c r="A280" s="16" t="s">
        <v>20</v>
      </c>
      <c r="B280" s="1" t="s">
        <v>13</v>
      </c>
      <c r="C280" s="1">
        <v>282</v>
      </c>
      <c r="D280" s="3">
        <v>99.205166533333326</v>
      </c>
      <c r="E280" s="2">
        <v>18.366500200000001</v>
      </c>
      <c r="F280" s="4">
        <v>72.486912000000004</v>
      </c>
      <c r="G280" s="13">
        <v>11.067391999999998</v>
      </c>
    </row>
    <row r="281" spans="1:7" x14ac:dyDescent="0.3">
      <c r="A281" s="16" t="s">
        <v>20</v>
      </c>
      <c r="B281" s="1" t="s">
        <v>13</v>
      </c>
      <c r="C281" s="1">
        <v>287</v>
      </c>
      <c r="D281" s="3">
        <v>98.925667966666666</v>
      </c>
      <c r="E281" s="2">
        <v>20.4638998</v>
      </c>
      <c r="F281" s="4">
        <v>71.360512</v>
      </c>
      <c r="G281" s="13">
        <v>10.678272000000007</v>
      </c>
    </row>
    <row r="282" spans="1:7" x14ac:dyDescent="0.3">
      <c r="A282" s="16" t="s">
        <v>20</v>
      </c>
      <c r="B282" s="1" t="s">
        <v>13</v>
      </c>
      <c r="C282" s="1">
        <v>286</v>
      </c>
      <c r="D282" s="3">
        <v>101.5414557</v>
      </c>
      <c r="E282" s="2">
        <v>18.600538400000001</v>
      </c>
      <c r="F282" s="4">
        <v>71.340031999999994</v>
      </c>
      <c r="G282" s="13">
        <v>10.59635200000001</v>
      </c>
    </row>
    <row r="283" spans="1:7" x14ac:dyDescent="0.3">
      <c r="A283" s="16" t="s">
        <v>20</v>
      </c>
      <c r="B283" s="1" t="s">
        <v>13</v>
      </c>
      <c r="C283" s="1">
        <v>282</v>
      </c>
      <c r="D283" s="3">
        <v>98.031121200000001</v>
      </c>
      <c r="E283" s="2">
        <v>18.390384000000001</v>
      </c>
      <c r="F283" s="4">
        <v>72.933375999999996</v>
      </c>
      <c r="G283" s="13">
        <v>9.1176960000000093</v>
      </c>
    </row>
    <row r="284" spans="1:7" x14ac:dyDescent="0.3">
      <c r="A284" s="16" t="s">
        <v>20</v>
      </c>
      <c r="B284" s="1" t="s">
        <v>13</v>
      </c>
      <c r="C284" s="1">
        <v>270</v>
      </c>
      <c r="D284" s="3">
        <v>98.998804666666672</v>
      </c>
      <c r="E284" s="2">
        <v>18.711858400000001</v>
      </c>
      <c r="F284" s="4">
        <v>72.482816</v>
      </c>
      <c r="G284" s="13">
        <v>10.526719999999997</v>
      </c>
    </row>
    <row r="285" spans="1:7" x14ac:dyDescent="0.3">
      <c r="A285" s="16" t="s">
        <v>20</v>
      </c>
      <c r="B285" s="1" t="s">
        <v>13</v>
      </c>
      <c r="C285" s="1">
        <v>282</v>
      </c>
      <c r="D285" s="3">
        <v>83.522541633333347</v>
      </c>
      <c r="E285" s="2">
        <v>18.405469400000001</v>
      </c>
      <c r="F285" s="4">
        <v>72.519679999999994</v>
      </c>
      <c r="G285" s="13">
        <v>5.7589760000000041</v>
      </c>
    </row>
    <row r="286" spans="1:7" x14ac:dyDescent="0.3">
      <c r="A286" s="16" t="s">
        <v>20</v>
      </c>
      <c r="B286" s="1" t="s">
        <v>13</v>
      </c>
      <c r="C286" s="1">
        <v>275</v>
      </c>
      <c r="D286" s="3">
        <v>83.086942700000009</v>
      </c>
      <c r="E286" s="2">
        <v>18.051764800000001</v>
      </c>
      <c r="F286" s="4">
        <v>72.523775999999998</v>
      </c>
      <c r="G286" s="13">
        <v>5.8367999999999967</v>
      </c>
    </row>
    <row r="287" spans="1:7" x14ac:dyDescent="0.3">
      <c r="A287" s="16" t="s">
        <v>20</v>
      </c>
      <c r="B287" s="1" t="s">
        <v>13</v>
      </c>
      <c r="C287" s="1">
        <v>280</v>
      </c>
      <c r="D287" s="3">
        <v>83.763820333333328</v>
      </c>
      <c r="E287" s="2">
        <v>18.184693800000002</v>
      </c>
      <c r="F287" s="4">
        <v>71.360512</v>
      </c>
      <c r="G287" s="13">
        <v>6.4143360000000058</v>
      </c>
    </row>
    <row r="288" spans="1:7" x14ac:dyDescent="0.3">
      <c r="A288" s="16" t="s">
        <v>20</v>
      </c>
      <c r="B288" s="1" t="s">
        <v>13</v>
      </c>
      <c r="C288" s="1">
        <v>266</v>
      </c>
      <c r="D288" s="3">
        <v>84.749699133333337</v>
      </c>
      <c r="E288" s="2">
        <v>18.190881600000001</v>
      </c>
      <c r="F288" s="4">
        <v>72.085504</v>
      </c>
      <c r="G288" s="13">
        <v>6.2382080000000002</v>
      </c>
    </row>
    <row r="289" spans="1:7" x14ac:dyDescent="0.3">
      <c r="A289" s="16" t="s">
        <v>20</v>
      </c>
      <c r="B289" s="1" t="s">
        <v>13</v>
      </c>
      <c r="C289" s="1">
        <v>280</v>
      </c>
      <c r="D289" s="3">
        <v>98.691464866666664</v>
      </c>
      <c r="E289" s="2">
        <v>21.652093600000001</v>
      </c>
      <c r="F289" s="4">
        <v>71.307264000000004</v>
      </c>
      <c r="G289" s="13">
        <v>10.625023999999996</v>
      </c>
    </row>
    <row r="290" spans="1:7" x14ac:dyDescent="0.3">
      <c r="A290" s="16" t="s">
        <v>20</v>
      </c>
      <c r="B290" s="1" t="s">
        <v>13</v>
      </c>
      <c r="C290" s="1">
        <v>277</v>
      </c>
      <c r="D290" s="3">
        <v>85.730576733333336</v>
      </c>
      <c r="E290" s="2">
        <v>18.158149399999999</v>
      </c>
      <c r="F290" s="4">
        <v>72.376320000000007</v>
      </c>
      <c r="G290" s="13">
        <v>5.8286079999999885</v>
      </c>
    </row>
    <row r="291" spans="1:7" x14ac:dyDescent="0.3">
      <c r="A291" s="16" t="s">
        <v>20</v>
      </c>
      <c r="B291" s="1" t="s">
        <v>13</v>
      </c>
      <c r="C291" s="1">
        <v>265</v>
      </c>
      <c r="D291" s="3">
        <v>85.18689453333333</v>
      </c>
      <c r="E291" s="2">
        <v>19.333031399999999</v>
      </c>
      <c r="F291" s="4">
        <v>71.450624000000005</v>
      </c>
      <c r="G291" s="13">
        <v>6.8771839999999997</v>
      </c>
    </row>
    <row r="292" spans="1:7" x14ac:dyDescent="0.3">
      <c r="A292" s="16" t="s">
        <v>20</v>
      </c>
      <c r="B292" s="1" t="s">
        <v>13</v>
      </c>
      <c r="C292" s="1">
        <v>260</v>
      </c>
      <c r="D292" s="3">
        <v>100.77355996666667</v>
      </c>
      <c r="E292" s="2">
        <v>20.249241999999999</v>
      </c>
      <c r="F292" s="4">
        <v>71.315455999999998</v>
      </c>
      <c r="G292" s="13">
        <v>11.223039999999997</v>
      </c>
    </row>
    <row r="293" spans="1:7" x14ac:dyDescent="0.3">
      <c r="A293" s="16" t="s">
        <v>20</v>
      </c>
      <c r="B293" s="1" t="s">
        <v>13</v>
      </c>
      <c r="C293" s="1">
        <v>272</v>
      </c>
      <c r="D293" s="3">
        <v>83.950929766666661</v>
      </c>
      <c r="E293" s="2">
        <v>19.153514999999999</v>
      </c>
      <c r="F293" s="4">
        <v>71.516159999999999</v>
      </c>
      <c r="G293" s="13">
        <v>6.8116480000000053</v>
      </c>
    </row>
    <row r="294" spans="1:7" x14ac:dyDescent="0.3">
      <c r="A294" s="16" t="s">
        <v>20</v>
      </c>
      <c r="B294" s="1" t="s">
        <v>13</v>
      </c>
      <c r="C294" s="1">
        <v>264</v>
      </c>
      <c r="D294" s="3">
        <v>97.273131500000005</v>
      </c>
      <c r="E294" s="2">
        <v>19.3059786</v>
      </c>
      <c r="F294" s="4">
        <v>71.983103999999997</v>
      </c>
      <c r="G294" s="13">
        <v>9.9860479999999967</v>
      </c>
    </row>
    <row r="295" spans="1:7" x14ac:dyDescent="0.3">
      <c r="A295" s="16" t="s">
        <v>20</v>
      </c>
      <c r="B295" s="1" t="s">
        <v>13</v>
      </c>
      <c r="C295" s="1">
        <v>263</v>
      </c>
      <c r="D295" s="3">
        <v>84.853031266666662</v>
      </c>
      <c r="E295" s="2">
        <v>18.440899399999999</v>
      </c>
      <c r="F295" s="4">
        <v>71.438336000000007</v>
      </c>
      <c r="G295" s="13">
        <v>6.7338239999999985</v>
      </c>
    </row>
    <row r="296" spans="1:7" x14ac:dyDescent="0.3">
      <c r="A296" s="16" t="s">
        <v>20</v>
      </c>
      <c r="B296" s="1" t="s">
        <v>13</v>
      </c>
      <c r="C296" s="1">
        <v>277</v>
      </c>
      <c r="D296" s="3">
        <v>97.831880099999992</v>
      </c>
      <c r="E296" s="2">
        <v>20.5294998</v>
      </c>
      <c r="F296" s="4">
        <v>71.389184</v>
      </c>
      <c r="G296" s="13">
        <v>10.649600000000007</v>
      </c>
    </row>
    <row r="297" spans="1:7" x14ac:dyDescent="0.3">
      <c r="A297" s="16" t="s">
        <v>20</v>
      </c>
      <c r="B297" s="1" t="s">
        <v>13</v>
      </c>
      <c r="C297" s="1">
        <v>286</v>
      </c>
      <c r="D297" s="3">
        <v>84.233484400000009</v>
      </c>
      <c r="E297" s="2">
        <v>22.133194599999999</v>
      </c>
      <c r="F297" s="4">
        <v>72.069119999999998</v>
      </c>
      <c r="G297" s="13">
        <v>5.5418880000000001</v>
      </c>
    </row>
    <row r="298" spans="1:7" x14ac:dyDescent="0.3">
      <c r="A298" s="16" t="s">
        <v>20</v>
      </c>
      <c r="B298" s="1" t="s">
        <v>13</v>
      </c>
      <c r="C298" s="1">
        <v>279</v>
      </c>
      <c r="D298" s="3">
        <v>97.411535299999997</v>
      </c>
      <c r="E298" s="2">
        <v>19.745443999999999</v>
      </c>
      <c r="F298" s="4">
        <v>71.565312000000006</v>
      </c>
      <c r="G298" s="13">
        <v>10.256383999999997</v>
      </c>
    </row>
    <row r="299" spans="1:7" x14ac:dyDescent="0.3">
      <c r="A299" s="16" t="s">
        <v>20</v>
      </c>
      <c r="B299" s="1" t="s">
        <v>13</v>
      </c>
      <c r="C299" s="1">
        <v>275</v>
      </c>
      <c r="D299" s="3">
        <v>98.361372400000008</v>
      </c>
      <c r="E299" s="2">
        <v>19.385906200000001</v>
      </c>
      <c r="F299" s="4">
        <v>71.372799999999998</v>
      </c>
      <c r="G299" s="13">
        <v>11.038719999999998</v>
      </c>
    </row>
    <row r="300" spans="1:7" x14ac:dyDescent="0.3">
      <c r="A300" s="16" t="s">
        <v>20</v>
      </c>
      <c r="B300" s="1" t="s">
        <v>13</v>
      </c>
      <c r="C300" s="1">
        <v>267</v>
      </c>
      <c r="D300" s="3">
        <v>99.823225166666674</v>
      </c>
      <c r="E300" s="2">
        <v>17.981539399999999</v>
      </c>
      <c r="F300" s="4">
        <v>71.450624000000005</v>
      </c>
      <c r="G300" s="13">
        <v>11.100159999999988</v>
      </c>
    </row>
    <row r="301" spans="1:7" x14ac:dyDescent="0.3">
      <c r="A301" s="16" t="s">
        <v>20</v>
      </c>
      <c r="B301" s="1" t="s">
        <v>13</v>
      </c>
      <c r="C301" s="1">
        <v>268</v>
      </c>
      <c r="D301" s="3">
        <v>93.694389299999997</v>
      </c>
      <c r="E301" s="2">
        <v>19.481977400000002</v>
      </c>
      <c r="F301" s="4">
        <v>71.348224000000002</v>
      </c>
      <c r="G301" s="13">
        <v>11.046911999999992</v>
      </c>
    </row>
    <row r="302" spans="1:7" x14ac:dyDescent="0.3">
      <c r="A302" s="16" t="s">
        <v>21</v>
      </c>
      <c r="B302" s="1" t="s">
        <v>14</v>
      </c>
      <c r="C302" s="1">
        <v>150</v>
      </c>
      <c r="D302" s="3">
        <v>4.3294114666666665</v>
      </c>
      <c r="E302" s="2">
        <v>8.0096872000000001</v>
      </c>
      <c r="F302" s="4">
        <v>48.799743999999997</v>
      </c>
      <c r="G302" s="13">
        <v>0.73318400000000139</v>
      </c>
    </row>
    <row r="303" spans="1:7" x14ac:dyDescent="0.3">
      <c r="A303" s="16" t="s">
        <v>21</v>
      </c>
      <c r="B303" s="1" t="s">
        <v>14</v>
      </c>
      <c r="C303" s="1">
        <v>152</v>
      </c>
      <c r="D303" s="3">
        <v>5.3837852000000002</v>
      </c>
      <c r="E303" s="2">
        <v>8.9701894000000006</v>
      </c>
      <c r="F303" s="4">
        <v>48.791552000000003</v>
      </c>
      <c r="G303" s="13">
        <v>1.0199039999999968</v>
      </c>
    </row>
    <row r="304" spans="1:7" x14ac:dyDescent="0.3">
      <c r="A304" s="16" t="s">
        <v>21</v>
      </c>
      <c r="B304" s="1" t="s">
        <v>14</v>
      </c>
      <c r="C304" s="1">
        <v>135</v>
      </c>
      <c r="D304" s="3">
        <v>6.0372786333333339</v>
      </c>
      <c r="E304" s="2">
        <v>9.8038048</v>
      </c>
      <c r="F304" s="4">
        <v>48.812032000000002</v>
      </c>
      <c r="G304" s="13">
        <v>1.0649599999999992</v>
      </c>
    </row>
    <row r="305" spans="1:7" x14ac:dyDescent="0.3">
      <c r="A305" s="16" t="s">
        <v>21</v>
      </c>
      <c r="B305" s="1" t="s">
        <v>14</v>
      </c>
      <c r="C305" s="1">
        <v>150</v>
      </c>
      <c r="D305" s="3">
        <v>6.1463411333333342</v>
      </c>
      <c r="E305" s="2">
        <v>9.0529607999999993</v>
      </c>
      <c r="F305" s="4">
        <v>48.836607999999998</v>
      </c>
      <c r="G305" s="13">
        <v>1.0854399999999984</v>
      </c>
    </row>
    <row r="306" spans="1:7" x14ac:dyDescent="0.3">
      <c r="A306" s="16" t="s">
        <v>21</v>
      </c>
      <c r="B306" s="1" t="s">
        <v>14</v>
      </c>
      <c r="C306" s="1">
        <v>146</v>
      </c>
      <c r="D306" s="3">
        <v>6.6384113666666664</v>
      </c>
      <c r="E306" s="2">
        <v>9.9510868000000006</v>
      </c>
      <c r="F306" s="4">
        <v>48.779263999999998</v>
      </c>
      <c r="G306" s="13">
        <v>1.2492799999999988</v>
      </c>
    </row>
    <row r="307" spans="1:7" x14ac:dyDescent="0.3">
      <c r="A307" s="16" t="s">
        <v>21</v>
      </c>
      <c r="B307" s="1" t="s">
        <v>14</v>
      </c>
      <c r="C307" s="1">
        <v>152</v>
      </c>
      <c r="D307" s="3">
        <v>5.7443477000000005</v>
      </c>
      <c r="E307" s="2">
        <v>11.289398</v>
      </c>
      <c r="F307" s="4">
        <v>48.762880000000003</v>
      </c>
      <c r="G307" s="13">
        <v>1.273855999999995</v>
      </c>
    </row>
    <row r="308" spans="1:7" x14ac:dyDescent="0.3">
      <c r="A308" s="16" t="s">
        <v>21</v>
      </c>
      <c r="B308" s="1" t="s">
        <v>14</v>
      </c>
      <c r="C308" s="1">
        <v>140</v>
      </c>
      <c r="D308" s="3">
        <v>5.8158085333333336</v>
      </c>
      <c r="E308" s="2">
        <v>9.5865422000000002</v>
      </c>
      <c r="F308" s="4">
        <v>48.738303999999999</v>
      </c>
      <c r="G308" s="13">
        <v>1.2001279999999994</v>
      </c>
    </row>
    <row r="309" spans="1:7" x14ac:dyDescent="0.3">
      <c r="A309" s="16" t="s">
        <v>21</v>
      </c>
      <c r="B309" s="1" t="s">
        <v>14</v>
      </c>
      <c r="C309" s="1">
        <v>138</v>
      </c>
      <c r="D309" s="3">
        <v>6.200869833333333</v>
      </c>
      <c r="E309" s="2">
        <v>9.89236</v>
      </c>
      <c r="F309" s="4">
        <v>48.390143999999999</v>
      </c>
      <c r="G309" s="13">
        <v>1.5769599999999997</v>
      </c>
    </row>
    <row r="310" spans="1:7" x14ac:dyDescent="0.3">
      <c r="A310" s="16" t="s">
        <v>21</v>
      </c>
      <c r="B310" s="1" t="s">
        <v>14</v>
      </c>
      <c r="C310" s="1">
        <v>147</v>
      </c>
      <c r="D310" s="3">
        <v>5.6090273333333327</v>
      </c>
      <c r="E310" s="2">
        <v>9.5168587999999996</v>
      </c>
      <c r="F310" s="4">
        <v>48.791552000000003</v>
      </c>
      <c r="G310" s="13">
        <v>0.72908799999999729</v>
      </c>
    </row>
    <row r="311" spans="1:7" x14ac:dyDescent="0.3">
      <c r="A311" s="16" t="s">
        <v>21</v>
      </c>
      <c r="B311" s="1" t="s">
        <v>14</v>
      </c>
      <c r="C311" s="1">
        <v>141</v>
      </c>
      <c r="D311" s="3">
        <v>5.3804298333333334</v>
      </c>
      <c r="E311" s="2">
        <v>9.4295931999999993</v>
      </c>
      <c r="F311" s="4">
        <v>48.926720000000003</v>
      </c>
      <c r="G311" s="13">
        <v>0.92569599999999497</v>
      </c>
    </row>
    <row r="312" spans="1:7" x14ac:dyDescent="0.3">
      <c r="A312" s="16" t="s">
        <v>21</v>
      </c>
      <c r="B312" s="1" t="s">
        <v>14</v>
      </c>
      <c r="C312" s="1">
        <v>124</v>
      </c>
      <c r="D312" s="3">
        <v>7.1429725999999993</v>
      </c>
      <c r="E312" s="2">
        <v>10.038639399999999</v>
      </c>
      <c r="F312" s="4">
        <v>48.979968</v>
      </c>
      <c r="G312" s="13">
        <v>1.1223039999999997</v>
      </c>
    </row>
    <row r="313" spans="1:7" x14ac:dyDescent="0.3">
      <c r="A313" s="16" t="s">
        <v>21</v>
      </c>
      <c r="B313" s="1" t="s">
        <v>14</v>
      </c>
      <c r="C313" s="1">
        <v>142</v>
      </c>
      <c r="D313" s="3">
        <v>5.7857174000000002</v>
      </c>
      <c r="E313" s="2">
        <v>10.8325698</v>
      </c>
      <c r="F313" s="4">
        <v>48.402431999999997</v>
      </c>
      <c r="G313" s="13">
        <v>1.0117120000000028</v>
      </c>
    </row>
    <row r="314" spans="1:7" x14ac:dyDescent="0.3">
      <c r="A314" s="16" t="s">
        <v>21</v>
      </c>
      <c r="B314" s="1" t="s">
        <v>14</v>
      </c>
      <c r="C314" s="1">
        <v>141</v>
      </c>
      <c r="D314" s="3">
        <v>5.763668</v>
      </c>
      <c r="E314" s="2">
        <v>10.426227799999999</v>
      </c>
      <c r="F314" s="4">
        <v>48.783360000000002</v>
      </c>
      <c r="G314" s="13">
        <v>1.2902399999999972</v>
      </c>
    </row>
    <row r="315" spans="1:7" x14ac:dyDescent="0.3">
      <c r="A315" s="16" t="s">
        <v>21</v>
      </c>
      <c r="B315" s="1" t="s">
        <v>14</v>
      </c>
      <c r="C315" s="1">
        <v>153</v>
      </c>
      <c r="D315" s="3">
        <v>5.9983399666666664</v>
      </c>
      <c r="E315" s="2">
        <v>11.036687799999999</v>
      </c>
      <c r="F315" s="4">
        <v>48.406528000000002</v>
      </c>
      <c r="G315" s="13">
        <v>1.0485759999999971</v>
      </c>
    </row>
    <row r="316" spans="1:7" x14ac:dyDescent="0.3">
      <c r="A316" s="16" t="s">
        <v>21</v>
      </c>
      <c r="B316" s="1" t="s">
        <v>14</v>
      </c>
      <c r="C316" s="1">
        <v>137</v>
      </c>
      <c r="D316" s="3">
        <v>6.2493006333333341</v>
      </c>
      <c r="E316" s="2">
        <v>9.4652422000000005</v>
      </c>
      <c r="F316" s="4">
        <v>48.762880000000003</v>
      </c>
      <c r="G316" s="13">
        <v>1.155071999999997</v>
      </c>
    </row>
    <row r="317" spans="1:7" x14ac:dyDescent="0.3">
      <c r="A317" s="16" t="s">
        <v>21</v>
      </c>
      <c r="B317" s="1" t="s">
        <v>14</v>
      </c>
      <c r="C317" s="1">
        <v>146</v>
      </c>
      <c r="D317" s="3">
        <v>5.6277266333333333</v>
      </c>
      <c r="E317" s="2">
        <v>8.5780393999999998</v>
      </c>
      <c r="F317" s="4">
        <v>48.779263999999998</v>
      </c>
      <c r="G317" s="13">
        <v>1.3639679999999998</v>
      </c>
    </row>
    <row r="318" spans="1:7" x14ac:dyDescent="0.3">
      <c r="A318" s="16" t="s">
        <v>21</v>
      </c>
      <c r="B318" s="1" t="s">
        <v>14</v>
      </c>
      <c r="C318" s="1">
        <v>133</v>
      </c>
      <c r="D318" s="3">
        <v>5.7055649666666666</v>
      </c>
      <c r="E318" s="2">
        <v>10.9531946</v>
      </c>
      <c r="F318" s="4">
        <v>48.758783999999999</v>
      </c>
      <c r="G318" s="13">
        <v>1.0854399999999984</v>
      </c>
    </row>
    <row r="319" spans="1:7" x14ac:dyDescent="0.3">
      <c r="A319" s="16" t="s">
        <v>21</v>
      </c>
      <c r="B319" s="1" t="s">
        <v>14</v>
      </c>
      <c r="C319" s="1">
        <v>145</v>
      </c>
      <c r="D319" s="3">
        <v>6.1585429666666665</v>
      </c>
      <c r="E319" s="2">
        <v>9.3744607999999996</v>
      </c>
      <c r="F319" s="4">
        <v>49.164287999999999</v>
      </c>
      <c r="G319" s="13">
        <v>0.81100800000000106</v>
      </c>
    </row>
    <row r="320" spans="1:7" x14ac:dyDescent="0.3">
      <c r="A320" s="16" t="s">
        <v>21</v>
      </c>
      <c r="B320" s="1" t="s">
        <v>14</v>
      </c>
      <c r="C320" s="1">
        <v>157</v>
      </c>
      <c r="D320" s="3">
        <v>6.1721041333333337</v>
      </c>
      <c r="E320" s="2">
        <v>10.101186800000001</v>
      </c>
      <c r="F320" s="4">
        <v>48.787455999999999</v>
      </c>
      <c r="G320" s="13">
        <v>1.2779519999999991</v>
      </c>
    </row>
    <row r="321" spans="1:7" x14ac:dyDescent="0.3">
      <c r="A321" s="16" t="s">
        <v>21</v>
      </c>
      <c r="B321" s="1" t="s">
        <v>14</v>
      </c>
      <c r="C321" s="1">
        <v>159</v>
      </c>
      <c r="D321" s="3">
        <v>5.9517042999999994</v>
      </c>
      <c r="E321" s="2">
        <v>9.6479762000000004</v>
      </c>
      <c r="F321" s="4">
        <v>48.807935999999998</v>
      </c>
      <c r="G321" s="13">
        <v>1.1796480000000003</v>
      </c>
    </row>
    <row r="322" spans="1:7" x14ac:dyDescent="0.3">
      <c r="A322" s="16" t="s">
        <v>21</v>
      </c>
      <c r="B322" s="1" t="s">
        <v>14</v>
      </c>
      <c r="C322" s="1">
        <v>143</v>
      </c>
      <c r="D322" s="3">
        <v>6.140148466666667</v>
      </c>
      <c r="E322" s="2">
        <v>9.8014457999999998</v>
      </c>
      <c r="F322" s="4">
        <v>48.787455999999999</v>
      </c>
      <c r="G322" s="13">
        <v>1.0240000000000009</v>
      </c>
    </row>
    <row r="323" spans="1:7" x14ac:dyDescent="0.3">
      <c r="A323" s="16" t="s">
        <v>21</v>
      </c>
      <c r="B323" s="1" t="s">
        <v>14</v>
      </c>
      <c r="C323" s="1">
        <v>138</v>
      </c>
      <c r="D323" s="3">
        <v>6.3613814333333334</v>
      </c>
      <c r="E323" s="2">
        <v>10.725890400000001</v>
      </c>
      <c r="F323" s="4">
        <v>48.791552000000003</v>
      </c>
      <c r="G323" s="13">
        <v>1.3066239999999993</v>
      </c>
    </row>
    <row r="324" spans="1:7" x14ac:dyDescent="0.3">
      <c r="A324" s="16" t="s">
        <v>21</v>
      </c>
      <c r="B324" s="1" t="s">
        <v>14</v>
      </c>
      <c r="C324" s="1">
        <v>144</v>
      </c>
      <c r="D324" s="3">
        <v>6.1495442999999996</v>
      </c>
      <c r="E324" s="2">
        <v>9.8484143999999993</v>
      </c>
      <c r="F324" s="4">
        <v>48.377856000000001</v>
      </c>
      <c r="G324" s="13">
        <v>1.5810559999999967</v>
      </c>
    </row>
    <row r="325" spans="1:7" x14ac:dyDescent="0.3">
      <c r="A325" s="16" t="s">
        <v>21</v>
      </c>
      <c r="B325" s="1" t="s">
        <v>14</v>
      </c>
      <c r="C325" s="1">
        <v>151</v>
      </c>
      <c r="D325" s="3">
        <v>5.8654270999999998</v>
      </c>
      <c r="E325" s="2">
        <v>9.9463608000000008</v>
      </c>
      <c r="F325" s="4">
        <v>48.807935999999998</v>
      </c>
      <c r="G325" s="13">
        <v>1.1591680000000011</v>
      </c>
    </row>
    <row r="326" spans="1:7" x14ac:dyDescent="0.3">
      <c r="A326" s="16" t="s">
        <v>21</v>
      </c>
      <c r="B326" s="1" t="s">
        <v>14</v>
      </c>
      <c r="C326" s="1">
        <v>140</v>
      </c>
      <c r="D326" s="3">
        <v>6.0095599999999996</v>
      </c>
      <c r="E326" s="2">
        <v>9.6865474000000003</v>
      </c>
      <c r="F326" s="4">
        <v>48.783360000000002</v>
      </c>
      <c r="G326" s="13">
        <v>1.3557759999999988</v>
      </c>
    </row>
    <row r="327" spans="1:7" x14ac:dyDescent="0.3">
      <c r="A327" s="16" t="s">
        <v>21</v>
      </c>
      <c r="B327" s="1" t="s">
        <v>14</v>
      </c>
      <c r="C327" s="1">
        <v>140</v>
      </c>
      <c r="D327" s="3">
        <v>5.8134674999999998</v>
      </c>
      <c r="E327" s="2">
        <v>9.7779784000000003</v>
      </c>
      <c r="F327" s="4">
        <v>48.758783999999999</v>
      </c>
      <c r="G327" s="13">
        <v>1.0567679999999982</v>
      </c>
    </row>
    <row r="328" spans="1:7" x14ac:dyDescent="0.3">
      <c r="A328" s="16" t="s">
        <v>21</v>
      </c>
      <c r="B328" s="1" t="s">
        <v>14</v>
      </c>
      <c r="C328" s="1">
        <v>142</v>
      </c>
      <c r="D328" s="3">
        <v>6.0494047999999996</v>
      </c>
      <c r="E328" s="2">
        <v>10.186249800000001</v>
      </c>
      <c r="F328" s="4">
        <v>48.812032000000002</v>
      </c>
      <c r="G328" s="13">
        <v>1.2533759999999958</v>
      </c>
    </row>
    <row r="329" spans="1:7" x14ac:dyDescent="0.3">
      <c r="A329" s="16" t="s">
        <v>21</v>
      </c>
      <c r="B329" s="1" t="s">
        <v>14</v>
      </c>
      <c r="C329" s="1">
        <v>148</v>
      </c>
      <c r="D329" s="3">
        <v>5.7873735999999996</v>
      </c>
      <c r="E329" s="2">
        <v>11.282787600000001</v>
      </c>
      <c r="F329" s="4">
        <v>48.840704000000002</v>
      </c>
      <c r="G329" s="13">
        <v>1.1059199999999976</v>
      </c>
    </row>
    <row r="330" spans="1:7" x14ac:dyDescent="0.3">
      <c r="A330" s="16" t="s">
        <v>21</v>
      </c>
      <c r="B330" s="1" t="s">
        <v>14</v>
      </c>
      <c r="C330" s="1">
        <v>138</v>
      </c>
      <c r="D330" s="3">
        <v>6.0267253333333333</v>
      </c>
      <c r="E330" s="2">
        <v>9.3082343999999999</v>
      </c>
      <c r="F330" s="4">
        <v>48.795648</v>
      </c>
      <c r="G330" s="13">
        <v>1.265664000000001</v>
      </c>
    </row>
    <row r="331" spans="1:7" x14ac:dyDescent="0.3">
      <c r="A331" s="16" t="s">
        <v>21</v>
      </c>
      <c r="B331" s="1" t="s">
        <v>14</v>
      </c>
      <c r="C331" s="1">
        <v>138</v>
      </c>
      <c r="D331" s="3">
        <v>6.1844857666666666</v>
      </c>
      <c r="E331" s="2">
        <v>10.9354996</v>
      </c>
      <c r="F331" s="4">
        <v>48.775168000000001</v>
      </c>
      <c r="G331" s="13">
        <v>0.98304000000000258</v>
      </c>
    </row>
    <row r="332" spans="1:7" x14ac:dyDescent="0.3">
      <c r="A332" s="16" t="s">
        <v>21</v>
      </c>
      <c r="B332" s="1" t="s">
        <v>15</v>
      </c>
      <c r="C332" s="1">
        <v>141</v>
      </c>
      <c r="D332" s="3">
        <v>0.34841543333333336</v>
      </c>
      <c r="E332" s="2">
        <v>9.9205386000000004</v>
      </c>
      <c r="F332" s="4">
        <v>48.840704000000002</v>
      </c>
      <c r="G332" s="13">
        <v>5.2838399999999979</v>
      </c>
    </row>
    <row r="333" spans="1:7" x14ac:dyDescent="0.3">
      <c r="A333" s="16" t="s">
        <v>21</v>
      </c>
      <c r="B333" s="1" t="s">
        <v>15</v>
      </c>
      <c r="C333" s="1">
        <v>144</v>
      </c>
      <c r="D333" s="3">
        <v>0.33316286666666661</v>
      </c>
      <c r="E333" s="2">
        <v>6.6639774000000003</v>
      </c>
      <c r="F333" s="4">
        <v>48.955392000000003</v>
      </c>
      <c r="G333" s="13">
        <v>5.1445759999999936</v>
      </c>
    </row>
    <row r="334" spans="1:7" x14ac:dyDescent="0.3">
      <c r="A334" s="16" t="s">
        <v>21</v>
      </c>
      <c r="B334" s="1" t="s">
        <v>15</v>
      </c>
      <c r="C334" s="1">
        <v>142</v>
      </c>
      <c r="D334" s="3">
        <v>0.25278393333333332</v>
      </c>
      <c r="E334" s="2">
        <v>6.4856943999999999</v>
      </c>
      <c r="F334" s="4">
        <v>48.885759999999998</v>
      </c>
      <c r="G334" s="13">
        <v>5.1486720000000048</v>
      </c>
    </row>
    <row r="335" spans="1:7" x14ac:dyDescent="0.3">
      <c r="A335" s="16" t="s">
        <v>21</v>
      </c>
      <c r="B335" s="1" t="s">
        <v>15</v>
      </c>
      <c r="C335" s="1">
        <v>140</v>
      </c>
      <c r="D335" s="3">
        <v>0.32623183333333333</v>
      </c>
      <c r="E335" s="2">
        <v>6.7941495999999999</v>
      </c>
      <c r="F335" s="4">
        <v>48.787455999999999</v>
      </c>
      <c r="G335" s="13">
        <v>5.9637760000000029</v>
      </c>
    </row>
    <row r="336" spans="1:7" x14ac:dyDescent="0.3">
      <c r="A336" s="16" t="s">
        <v>21</v>
      </c>
      <c r="B336" s="1" t="s">
        <v>15</v>
      </c>
      <c r="C336" s="1">
        <v>134</v>
      </c>
      <c r="D336" s="3">
        <v>0.28462633333333331</v>
      </c>
      <c r="E336" s="2">
        <v>8.0619759999999996</v>
      </c>
      <c r="F336" s="4">
        <v>48.885759999999998</v>
      </c>
      <c r="G336" s="13">
        <v>5.3125120000000052</v>
      </c>
    </row>
    <row r="337" spans="1:7" x14ac:dyDescent="0.3">
      <c r="A337" s="16" t="s">
        <v>21</v>
      </c>
      <c r="B337" s="1" t="s">
        <v>15</v>
      </c>
      <c r="C337" s="1">
        <v>141</v>
      </c>
      <c r="D337" s="3">
        <v>0.24305723333333334</v>
      </c>
      <c r="E337" s="2">
        <v>7.1336719999999998</v>
      </c>
      <c r="F337" s="4">
        <v>48.996352000000002</v>
      </c>
      <c r="G337" s="13">
        <v>5.2019200000000012</v>
      </c>
    </row>
    <row r="338" spans="1:7" x14ac:dyDescent="0.3">
      <c r="A338" s="16" t="s">
        <v>21</v>
      </c>
      <c r="B338" s="1" t="s">
        <v>15</v>
      </c>
      <c r="C338" s="1">
        <v>136</v>
      </c>
      <c r="D338" s="3">
        <v>0.34556379999999998</v>
      </c>
      <c r="E338" s="2">
        <v>6.0274913999999997</v>
      </c>
      <c r="F338" s="4">
        <v>48.996352000000002</v>
      </c>
      <c r="G338" s="13">
        <v>5.2428799999999995</v>
      </c>
    </row>
    <row r="339" spans="1:7" x14ac:dyDescent="0.3">
      <c r="A339" s="16" t="s">
        <v>21</v>
      </c>
      <c r="B339" s="1" t="s">
        <v>15</v>
      </c>
      <c r="C339" s="1">
        <v>156</v>
      </c>
      <c r="D339" s="3">
        <v>0.31880203333333335</v>
      </c>
      <c r="E339" s="2">
        <v>8.7917108000000006</v>
      </c>
      <c r="F339" s="4">
        <v>48.848896000000003</v>
      </c>
      <c r="G339" s="13">
        <v>6.0907519999999948</v>
      </c>
    </row>
    <row r="340" spans="1:7" x14ac:dyDescent="0.3">
      <c r="A340" s="16" t="s">
        <v>21</v>
      </c>
      <c r="B340" s="1" t="s">
        <v>15</v>
      </c>
      <c r="C340" s="1">
        <v>143</v>
      </c>
      <c r="D340" s="3">
        <v>0.36556240000000001</v>
      </c>
      <c r="E340" s="2">
        <v>4.1428057999999996</v>
      </c>
      <c r="F340" s="4">
        <v>48.758783999999999</v>
      </c>
      <c r="G340" s="13">
        <v>5.4886400000000037</v>
      </c>
    </row>
    <row r="341" spans="1:7" x14ac:dyDescent="0.3">
      <c r="A341" s="16" t="s">
        <v>21</v>
      </c>
      <c r="B341" s="1" t="s">
        <v>15</v>
      </c>
      <c r="C341" s="1">
        <v>146</v>
      </c>
      <c r="D341" s="3">
        <v>0.31879163333333338</v>
      </c>
      <c r="E341" s="2">
        <v>8.136431</v>
      </c>
      <c r="F341" s="4">
        <v>48.783360000000002</v>
      </c>
      <c r="G341" s="13">
        <v>5.2756479999999968</v>
      </c>
    </row>
    <row r="342" spans="1:7" x14ac:dyDescent="0.3">
      <c r="A342" s="16" t="s">
        <v>21</v>
      </c>
      <c r="B342" s="1" t="s">
        <v>15</v>
      </c>
      <c r="C342" s="1">
        <v>147</v>
      </c>
      <c r="D342" s="3">
        <v>0.25529039999999997</v>
      </c>
      <c r="E342" s="2">
        <v>6.7533361999999997</v>
      </c>
      <c r="F342" s="4">
        <v>48.787455999999999</v>
      </c>
      <c r="G342" s="13">
        <v>5.4558719999999994</v>
      </c>
    </row>
    <row r="343" spans="1:7" x14ac:dyDescent="0.3">
      <c r="A343" s="16" t="s">
        <v>21</v>
      </c>
      <c r="B343" s="1" t="s">
        <v>15</v>
      </c>
      <c r="C343" s="1">
        <v>144</v>
      </c>
      <c r="D343" s="3">
        <v>0.29068366666666667</v>
      </c>
      <c r="E343" s="2">
        <v>2.9090864000000001</v>
      </c>
      <c r="F343" s="4">
        <v>48.762880000000003</v>
      </c>
      <c r="G343" s="13">
        <v>6.1890560000000008</v>
      </c>
    </row>
    <row r="344" spans="1:7" x14ac:dyDescent="0.3">
      <c r="A344" s="16" t="s">
        <v>21</v>
      </c>
      <c r="B344" s="1" t="s">
        <v>15</v>
      </c>
      <c r="C344" s="1">
        <v>145</v>
      </c>
      <c r="D344" s="3">
        <v>0.32032413333333337</v>
      </c>
      <c r="E344" s="2">
        <v>7.6501580000000002</v>
      </c>
      <c r="F344" s="4">
        <v>48.758783999999999</v>
      </c>
      <c r="G344" s="13">
        <v>5.2633599999999987</v>
      </c>
    </row>
    <row r="345" spans="1:7" x14ac:dyDescent="0.3">
      <c r="A345" s="16" t="s">
        <v>21</v>
      </c>
      <c r="B345" s="1" t="s">
        <v>15</v>
      </c>
      <c r="C345" s="1">
        <v>142</v>
      </c>
      <c r="D345" s="3">
        <v>0.31505726666666667</v>
      </c>
      <c r="E345" s="2">
        <v>8.0679687999999992</v>
      </c>
      <c r="F345" s="4">
        <v>48.775168000000001</v>
      </c>
      <c r="G345" s="13">
        <v>5.410815999999997</v>
      </c>
    </row>
    <row r="346" spans="1:7" x14ac:dyDescent="0.3">
      <c r="A346" s="16" t="s">
        <v>21</v>
      </c>
      <c r="B346" s="1" t="s">
        <v>15</v>
      </c>
      <c r="C346" s="1">
        <v>135</v>
      </c>
      <c r="D346" s="3">
        <v>0.32205479999999997</v>
      </c>
      <c r="E346" s="2">
        <v>5.5200307999999998</v>
      </c>
      <c r="F346" s="4">
        <v>48.771071999999997</v>
      </c>
      <c r="G346" s="13">
        <v>5.9146240000000034</v>
      </c>
    </row>
    <row r="347" spans="1:7" x14ac:dyDescent="0.3">
      <c r="A347" s="16" t="s">
        <v>21</v>
      </c>
      <c r="B347" s="1" t="s">
        <v>15</v>
      </c>
      <c r="C347" s="1">
        <v>150</v>
      </c>
      <c r="D347" s="3">
        <v>0.31846609999999997</v>
      </c>
      <c r="E347" s="2">
        <v>7.144298</v>
      </c>
      <c r="F347" s="4">
        <v>48.893951999999999</v>
      </c>
      <c r="G347" s="13">
        <v>5.640191999999999</v>
      </c>
    </row>
    <row r="348" spans="1:7" x14ac:dyDescent="0.3">
      <c r="A348" s="16" t="s">
        <v>21</v>
      </c>
      <c r="B348" s="1" t="s">
        <v>15</v>
      </c>
      <c r="C348" s="1">
        <v>141</v>
      </c>
      <c r="D348" s="3">
        <v>0.32196486666666663</v>
      </c>
      <c r="E348" s="2">
        <v>7.6048992000000002</v>
      </c>
      <c r="F348" s="4">
        <v>48.881664000000001</v>
      </c>
      <c r="G348" s="13">
        <v>5.3616639999999975</v>
      </c>
    </row>
    <row r="349" spans="1:7" x14ac:dyDescent="0.3">
      <c r="A349" s="16" t="s">
        <v>21</v>
      </c>
      <c r="B349" s="1" t="s">
        <v>15</v>
      </c>
      <c r="C349" s="1">
        <v>158</v>
      </c>
      <c r="D349" s="3">
        <v>0.30291006666666664</v>
      </c>
      <c r="E349" s="2">
        <v>8.6850699999999996</v>
      </c>
      <c r="F349" s="4">
        <v>48.873472</v>
      </c>
      <c r="G349" s="13">
        <v>5.3084160000000011</v>
      </c>
    </row>
    <row r="350" spans="1:7" x14ac:dyDescent="0.3">
      <c r="A350" s="16" t="s">
        <v>21</v>
      </c>
      <c r="B350" s="1" t="s">
        <v>15</v>
      </c>
      <c r="C350" s="1">
        <v>145</v>
      </c>
      <c r="D350" s="3">
        <v>0.28497790000000001</v>
      </c>
      <c r="E350" s="2">
        <v>3.9636322000000002</v>
      </c>
      <c r="F350" s="4">
        <v>48.922623999999999</v>
      </c>
      <c r="G350" s="13">
        <v>5.1077119999999994</v>
      </c>
    </row>
    <row r="351" spans="1:7" x14ac:dyDescent="0.3">
      <c r="A351" s="16" t="s">
        <v>21</v>
      </c>
      <c r="B351" s="1" t="s">
        <v>15</v>
      </c>
      <c r="C351" s="1">
        <v>155</v>
      </c>
      <c r="D351" s="3">
        <v>0.26648423333333332</v>
      </c>
      <c r="E351" s="2">
        <v>7.0997108000000004</v>
      </c>
      <c r="F351" s="4">
        <v>48.865279999999998</v>
      </c>
      <c r="G351" s="13">
        <v>5.8368000000000038</v>
      </c>
    </row>
    <row r="352" spans="1:7" x14ac:dyDescent="0.3">
      <c r="A352" s="16" t="s">
        <v>21</v>
      </c>
      <c r="B352" s="1" t="s">
        <v>15</v>
      </c>
      <c r="C352" s="1">
        <v>149</v>
      </c>
      <c r="D352" s="3">
        <v>0.24180606666666668</v>
      </c>
      <c r="E352" s="2">
        <v>5.2446494000000001</v>
      </c>
      <c r="F352" s="4">
        <v>48.902144</v>
      </c>
      <c r="G352" s="13">
        <v>5.6442880000000031</v>
      </c>
    </row>
    <row r="353" spans="1:7" x14ac:dyDescent="0.3">
      <c r="A353" s="16" t="s">
        <v>21</v>
      </c>
      <c r="B353" s="1" t="s">
        <v>15</v>
      </c>
      <c r="C353" s="1">
        <v>137</v>
      </c>
      <c r="D353" s="3">
        <v>0.2664531</v>
      </c>
      <c r="E353" s="2">
        <v>6.2661857999999997</v>
      </c>
      <c r="F353" s="4">
        <v>48.762880000000003</v>
      </c>
      <c r="G353" s="13">
        <v>5.4763519999999986</v>
      </c>
    </row>
    <row r="354" spans="1:7" x14ac:dyDescent="0.3">
      <c r="A354" s="16" t="s">
        <v>21</v>
      </c>
      <c r="B354" s="1" t="s">
        <v>15</v>
      </c>
      <c r="C354" s="1">
        <v>127</v>
      </c>
      <c r="D354" s="3">
        <v>0.33630599999999999</v>
      </c>
      <c r="E354" s="2">
        <v>3.8447040000000001</v>
      </c>
      <c r="F354" s="4">
        <v>48.812032000000002</v>
      </c>
      <c r="G354" s="13">
        <v>5.8654719999999969</v>
      </c>
    </row>
    <row r="355" spans="1:7" x14ac:dyDescent="0.3">
      <c r="A355" s="16" t="s">
        <v>21</v>
      </c>
      <c r="B355" s="1" t="s">
        <v>15</v>
      </c>
      <c r="C355" s="1">
        <v>129</v>
      </c>
      <c r="D355" s="3">
        <v>0.31683600000000001</v>
      </c>
      <c r="E355" s="2">
        <v>6.5923357999999999</v>
      </c>
      <c r="F355" s="4">
        <v>48.902144</v>
      </c>
      <c r="G355" s="13">
        <v>5.8490880000000018</v>
      </c>
    </row>
    <row r="356" spans="1:7" x14ac:dyDescent="0.3">
      <c r="A356" s="16" t="s">
        <v>21</v>
      </c>
      <c r="B356" s="1" t="s">
        <v>15</v>
      </c>
      <c r="C356" s="1">
        <v>138</v>
      </c>
      <c r="D356" s="3">
        <v>0.42237236666666667</v>
      </c>
      <c r="E356" s="2">
        <v>7.0467896000000003</v>
      </c>
      <c r="F356" s="4">
        <v>49.000447999999999</v>
      </c>
      <c r="G356" s="13">
        <v>5.5705600000000004</v>
      </c>
    </row>
    <row r="357" spans="1:7" x14ac:dyDescent="0.3">
      <c r="A357" s="16" t="s">
        <v>21</v>
      </c>
      <c r="B357" s="1" t="s">
        <v>15</v>
      </c>
      <c r="C357" s="1">
        <v>132</v>
      </c>
      <c r="D357" s="3">
        <v>0.30046090000000003</v>
      </c>
      <c r="E357" s="2">
        <v>7.0537977999999999</v>
      </c>
      <c r="F357" s="4">
        <v>48.906239999999997</v>
      </c>
      <c r="G357" s="13">
        <v>5.6442880000000031</v>
      </c>
    </row>
    <row r="358" spans="1:7" x14ac:dyDescent="0.3">
      <c r="A358" s="16" t="s">
        <v>21</v>
      </c>
      <c r="B358" s="1" t="s">
        <v>15</v>
      </c>
      <c r="C358" s="1">
        <v>143</v>
      </c>
      <c r="D358" s="3">
        <v>0.29019286666666666</v>
      </c>
      <c r="E358" s="2">
        <v>6.6909226000000004</v>
      </c>
      <c r="F358" s="4">
        <v>48.951295999999999</v>
      </c>
      <c r="G358" s="13">
        <v>5.062656000000004</v>
      </c>
    </row>
    <row r="359" spans="1:7" x14ac:dyDescent="0.3">
      <c r="A359" s="16" t="s">
        <v>21</v>
      </c>
      <c r="B359" s="1" t="s">
        <v>15</v>
      </c>
      <c r="C359" s="1">
        <v>149</v>
      </c>
      <c r="D359" s="3">
        <v>0.26210410000000001</v>
      </c>
      <c r="E359" s="2">
        <v>6.9173989999999996</v>
      </c>
      <c r="F359" s="4">
        <v>49.012735999999997</v>
      </c>
      <c r="G359" s="13">
        <v>5.0257920000000027</v>
      </c>
    </row>
    <row r="360" spans="1:7" x14ac:dyDescent="0.3">
      <c r="A360" s="16" t="s">
        <v>21</v>
      </c>
      <c r="B360" s="1" t="s">
        <v>15</v>
      </c>
      <c r="C360" s="1">
        <v>149</v>
      </c>
      <c r="D360" s="3">
        <v>0.32698036666666663</v>
      </c>
      <c r="E360" s="2">
        <v>10.2426168</v>
      </c>
      <c r="F360" s="4">
        <v>48.865279999999998</v>
      </c>
      <c r="G360" s="13">
        <v>6.1890560000000008</v>
      </c>
    </row>
    <row r="361" spans="1:7" x14ac:dyDescent="0.3">
      <c r="A361" s="16" t="s">
        <v>21</v>
      </c>
      <c r="B361" s="1" t="s">
        <v>15</v>
      </c>
      <c r="C361" s="1">
        <v>134</v>
      </c>
      <c r="D361" s="3">
        <v>0.28070970000000001</v>
      </c>
      <c r="E361" s="2">
        <v>3.4383674000000002</v>
      </c>
      <c r="F361" s="4">
        <v>48.783360000000002</v>
      </c>
      <c r="G361" s="13">
        <v>5.7753599999999992</v>
      </c>
    </row>
    <row r="362" spans="1:7" x14ac:dyDescent="0.3">
      <c r="A362" s="16" t="s">
        <v>21</v>
      </c>
      <c r="B362" s="1" t="s">
        <v>16</v>
      </c>
      <c r="C362" s="1">
        <v>130</v>
      </c>
      <c r="D362" s="3">
        <v>125.15230593333334</v>
      </c>
      <c r="E362" s="2">
        <v>10.0838584</v>
      </c>
      <c r="F362" s="4">
        <v>48.791552000000003</v>
      </c>
      <c r="G362" s="13">
        <v>16.236544000000002</v>
      </c>
    </row>
    <row r="363" spans="1:7" x14ac:dyDescent="0.3">
      <c r="A363" s="16" t="s">
        <v>21</v>
      </c>
      <c r="B363" s="1" t="s">
        <v>16</v>
      </c>
      <c r="C363" s="1">
        <v>144</v>
      </c>
      <c r="D363" s="3">
        <v>132.6100572</v>
      </c>
      <c r="E363" s="2">
        <v>8.1421334000000005</v>
      </c>
      <c r="F363" s="4">
        <v>49.266688000000002</v>
      </c>
      <c r="G363" s="13">
        <v>15.245311999999998</v>
      </c>
    </row>
    <row r="364" spans="1:7" x14ac:dyDescent="0.3">
      <c r="A364" s="16" t="s">
        <v>21</v>
      </c>
      <c r="B364" s="1" t="s">
        <v>16</v>
      </c>
      <c r="C364" s="1">
        <v>146</v>
      </c>
      <c r="D364" s="3">
        <v>131.56702609999999</v>
      </c>
      <c r="E364" s="2">
        <v>11.819828599999999</v>
      </c>
      <c r="F364" s="4">
        <v>48.828415999999997</v>
      </c>
      <c r="G364" s="13">
        <v>16.773119999999999</v>
      </c>
    </row>
    <row r="365" spans="1:7" x14ac:dyDescent="0.3">
      <c r="A365" s="16" t="s">
        <v>21</v>
      </c>
      <c r="B365" s="1" t="s">
        <v>16</v>
      </c>
      <c r="C365" s="1">
        <v>138</v>
      </c>
      <c r="D365" s="3">
        <v>96.37492073333334</v>
      </c>
      <c r="E365" s="2">
        <v>7.5683280000000002</v>
      </c>
      <c r="F365" s="4">
        <v>48.775168000000001</v>
      </c>
      <c r="G365" s="13">
        <v>16.437248000000004</v>
      </c>
    </row>
    <row r="366" spans="1:7" x14ac:dyDescent="0.3">
      <c r="A366" s="16" t="s">
        <v>21</v>
      </c>
      <c r="B366" s="1" t="s">
        <v>16</v>
      </c>
      <c r="C366" s="1">
        <v>134</v>
      </c>
      <c r="D366" s="3">
        <v>90.477716099999995</v>
      </c>
      <c r="E366" s="2">
        <v>8.6879057999999993</v>
      </c>
      <c r="F366" s="4">
        <v>48.775168000000001</v>
      </c>
      <c r="G366" s="13">
        <v>16.334848000000001</v>
      </c>
    </row>
    <row r="367" spans="1:7" x14ac:dyDescent="0.3">
      <c r="A367" s="16" t="s">
        <v>21</v>
      </c>
      <c r="B367" s="1" t="s">
        <v>16</v>
      </c>
      <c r="C367" s="1">
        <v>136</v>
      </c>
      <c r="D367" s="3">
        <v>92.406477833333327</v>
      </c>
      <c r="E367" s="2">
        <v>7.6978906</v>
      </c>
      <c r="F367" s="4">
        <v>48.803840000000001</v>
      </c>
      <c r="G367" s="13">
        <v>16.73216</v>
      </c>
    </row>
    <row r="368" spans="1:7" x14ac:dyDescent="0.3">
      <c r="A368" s="16" t="s">
        <v>21</v>
      </c>
      <c r="B368" s="1" t="s">
        <v>16</v>
      </c>
      <c r="C368" s="1">
        <v>136</v>
      </c>
      <c r="D368" s="3">
        <v>124.2567461</v>
      </c>
      <c r="E368" s="2">
        <v>8.0517038000000003</v>
      </c>
      <c r="F368" s="4">
        <v>48.812032000000002</v>
      </c>
      <c r="G368" s="13">
        <v>16.420863999999995</v>
      </c>
    </row>
    <row r="369" spans="1:7" x14ac:dyDescent="0.3">
      <c r="A369" s="16" t="s">
        <v>21</v>
      </c>
      <c r="B369" s="1" t="s">
        <v>16</v>
      </c>
      <c r="C369" s="1">
        <v>158</v>
      </c>
      <c r="D369" s="3">
        <v>89.852628933333335</v>
      </c>
      <c r="E369" s="2">
        <v>8.7537572000000008</v>
      </c>
      <c r="F369" s="4">
        <v>48.758783999999999</v>
      </c>
      <c r="G369" s="13">
        <v>16.297984000000007</v>
      </c>
    </row>
    <row r="370" spans="1:7" x14ac:dyDescent="0.3">
      <c r="A370" s="16" t="s">
        <v>21</v>
      </c>
      <c r="B370" s="1" t="s">
        <v>16</v>
      </c>
      <c r="C370" s="1">
        <v>141</v>
      </c>
      <c r="D370" s="3">
        <v>127.42337506666667</v>
      </c>
      <c r="E370" s="2">
        <v>8.2393678000000001</v>
      </c>
      <c r="F370" s="4">
        <v>48.775168000000001</v>
      </c>
      <c r="G370" s="13">
        <v>16.400383999999995</v>
      </c>
    </row>
    <row r="371" spans="1:7" x14ac:dyDescent="0.3">
      <c r="A371" s="16" t="s">
        <v>21</v>
      </c>
      <c r="B371" s="1" t="s">
        <v>16</v>
      </c>
      <c r="C371" s="1">
        <v>142</v>
      </c>
      <c r="D371" s="3">
        <v>115.96575913333334</v>
      </c>
      <c r="E371" s="2">
        <v>7.6874605999999996</v>
      </c>
      <c r="F371" s="4">
        <v>48.787455999999999</v>
      </c>
      <c r="G371" s="13">
        <v>16.379904000000003</v>
      </c>
    </row>
    <row r="372" spans="1:7" x14ac:dyDescent="0.3">
      <c r="A372" s="16" t="s">
        <v>21</v>
      </c>
      <c r="B372" s="1" t="s">
        <v>16</v>
      </c>
      <c r="C372" s="1">
        <v>137</v>
      </c>
      <c r="D372" s="3">
        <v>109.29843616666668</v>
      </c>
      <c r="E372" s="2">
        <v>7.0747964000000003</v>
      </c>
      <c r="F372" s="4">
        <v>48.762880000000003</v>
      </c>
      <c r="G372" s="13">
        <v>16.416767999999998</v>
      </c>
    </row>
    <row r="373" spans="1:7" x14ac:dyDescent="0.3">
      <c r="A373" s="16" t="s">
        <v>21</v>
      </c>
      <c r="B373" s="1" t="s">
        <v>16</v>
      </c>
      <c r="C373" s="1">
        <v>141</v>
      </c>
      <c r="D373" s="3">
        <v>97.676274700000008</v>
      </c>
      <c r="E373" s="2">
        <v>7.4050694000000004</v>
      </c>
      <c r="F373" s="4">
        <v>48.795648</v>
      </c>
      <c r="G373" s="13">
        <v>16.453631999999999</v>
      </c>
    </row>
    <row r="374" spans="1:7" x14ac:dyDescent="0.3">
      <c r="A374" s="16" t="s">
        <v>21</v>
      </c>
      <c r="B374" s="1" t="s">
        <v>16</v>
      </c>
      <c r="C374" s="1">
        <v>140</v>
      </c>
      <c r="D374" s="3">
        <v>107.8539881</v>
      </c>
      <c r="E374" s="2">
        <v>7.2194604</v>
      </c>
      <c r="F374" s="4">
        <v>48.766976</v>
      </c>
      <c r="G374" s="13">
        <v>16.265215999999995</v>
      </c>
    </row>
    <row r="375" spans="1:7" x14ac:dyDescent="0.3">
      <c r="A375" s="16" t="s">
        <v>21</v>
      </c>
      <c r="B375" s="1" t="s">
        <v>16</v>
      </c>
      <c r="C375" s="1">
        <v>144</v>
      </c>
      <c r="D375" s="3">
        <v>100.03776023333333</v>
      </c>
      <c r="E375" s="2">
        <v>7.6009685999999999</v>
      </c>
      <c r="F375" s="4">
        <v>48.775168000000001</v>
      </c>
      <c r="G375" s="13">
        <v>15.745023999999994</v>
      </c>
    </row>
    <row r="376" spans="1:7" x14ac:dyDescent="0.3">
      <c r="A376" s="16" t="s">
        <v>21</v>
      </c>
      <c r="B376" s="1" t="s">
        <v>16</v>
      </c>
      <c r="C376" s="1">
        <v>143</v>
      </c>
      <c r="D376" s="3">
        <v>89.005292966666673</v>
      </c>
      <c r="E376" s="2">
        <v>8.9411573999999998</v>
      </c>
      <c r="F376" s="4">
        <v>48.803840000000001</v>
      </c>
      <c r="G376" s="13">
        <v>16.232447999999998</v>
      </c>
    </row>
    <row r="377" spans="1:7" x14ac:dyDescent="0.3">
      <c r="A377" s="16" t="s">
        <v>21</v>
      </c>
      <c r="B377" s="1" t="s">
        <v>16</v>
      </c>
      <c r="C377" s="1">
        <v>138</v>
      </c>
      <c r="D377" s="3">
        <v>94.758725333333331</v>
      </c>
      <c r="E377" s="2">
        <v>7.1115234000000003</v>
      </c>
      <c r="F377" s="4">
        <v>48.82432</v>
      </c>
      <c r="G377" s="13">
        <v>16.375808000000006</v>
      </c>
    </row>
    <row r="378" spans="1:7" x14ac:dyDescent="0.3">
      <c r="A378" s="16" t="s">
        <v>21</v>
      </c>
      <c r="B378" s="1" t="s">
        <v>16</v>
      </c>
      <c r="C378" s="1">
        <v>143</v>
      </c>
      <c r="D378" s="3">
        <v>132.93453916666667</v>
      </c>
      <c r="E378" s="2">
        <v>9.8329685999999992</v>
      </c>
      <c r="F378" s="4">
        <v>48.775168000000001</v>
      </c>
      <c r="G378" s="13">
        <v>16.318463999999999</v>
      </c>
    </row>
    <row r="379" spans="1:7" x14ac:dyDescent="0.3">
      <c r="A379" s="16" t="s">
        <v>21</v>
      </c>
      <c r="B379" s="1" t="s">
        <v>16</v>
      </c>
      <c r="C379" s="1">
        <v>138</v>
      </c>
      <c r="D379" s="3">
        <v>105.39843879999999</v>
      </c>
      <c r="E379" s="2">
        <v>7.7638904000000002</v>
      </c>
      <c r="F379" s="4">
        <v>48.799743999999997</v>
      </c>
      <c r="G379" s="13">
        <v>16.252928000000004</v>
      </c>
    </row>
    <row r="380" spans="1:7" x14ac:dyDescent="0.3">
      <c r="A380" s="16" t="s">
        <v>21</v>
      </c>
      <c r="B380" s="1" t="s">
        <v>16</v>
      </c>
      <c r="C380" s="1">
        <v>160</v>
      </c>
      <c r="D380" s="3">
        <v>128.83248176666666</v>
      </c>
      <c r="E380" s="2">
        <v>9.5526491999999994</v>
      </c>
      <c r="F380" s="4">
        <v>49.262591999999998</v>
      </c>
      <c r="G380" s="13">
        <v>15.917056000000002</v>
      </c>
    </row>
    <row r="381" spans="1:7" x14ac:dyDescent="0.3">
      <c r="A381" s="16" t="s">
        <v>21</v>
      </c>
      <c r="B381" s="1" t="s">
        <v>16</v>
      </c>
      <c r="C381" s="1">
        <v>143</v>
      </c>
      <c r="D381" s="3">
        <v>135.63831513333332</v>
      </c>
      <c r="E381" s="2">
        <v>10.897008400000001</v>
      </c>
      <c r="F381" s="4">
        <v>48.787455999999999</v>
      </c>
      <c r="G381" s="13">
        <v>16.240640000000006</v>
      </c>
    </row>
    <row r="382" spans="1:7" x14ac:dyDescent="0.3">
      <c r="A382" s="16" t="s">
        <v>21</v>
      </c>
      <c r="B382" s="1" t="s">
        <v>16</v>
      </c>
      <c r="C382" s="1">
        <v>143</v>
      </c>
      <c r="D382" s="3">
        <v>93.464979233333338</v>
      </c>
      <c r="E382" s="2">
        <v>7.8213131999999996</v>
      </c>
      <c r="F382" s="4">
        <v>48.779263999999998</v>
      </c>
      <c r="G382" s="13">
        <v>16.420864000000009</v>
      </c>
    </row>
    <row r="383" spans="1:7" x14ac:dyDescent="0.3">
      <c r="A383" s="16" t="s">
        <v>21</v>
      </c>
      <c r="B383" s="1" t="s">
        <v>16</v>
      </c>
      <c r="C383" s="1">
        <v>143</v>
      </c>
      <c r="D383" s="3">
        <v>132.62413926666667</v>
      </c>
      <c r="E383" s="2">
        <v>9.1775768000000006</v>
      </c>
      <c r="F383" s="4">
        <v>48.766976</v>
      </c>
      <c r="G383" s="13">
        <v>16.384</v>
      </c>
    </row>
    <row r="384" spans="1:7" x14ac:dyDescent="0.3">
      <c r="A384" s="16" t="s">
        <v>21</v>
      </c>
      <c r="B384" s="1" t="s">
        <v>16</v>
      </c>
      <c r="C384" s="1">
        <v>132</v>
      </c>
      <c r="D384" s="3">
        <v>93.081832066666664</v>
      </c>
      <c r="E384" s="2">
        <v>6.2817192000000004</v>
      </c>
      <c r="F384" s="4">
        <v>48.775168000000001</v>
      </c>
      <c r="G384" s="13">
        <v>14.725119999999997</v>
      </c>
    </row>
    <row r="385" spans="1:7" x14ac:dyDescent="0.3">
      <c r="A385" s="16" t="s">
        <v>21</v>
      </c>
      <c r="B385" s="1" t="s">
        <v>16</v>
      </c>
      <c r="C385" s="1">
        <v>140</v>
      </c>
      <c r="D385" s="3">
        <v>123.30228636666666</v>
      </c>
      <c r="E385" s="2">
        <v>7.7866092</v>
      </c>
      <c r="F385" s="4">
        <v>48.783360000000002</v>
      </c>
      <c r="G385" s="13">
        <v>15.745024000000001</v>
      </c>
    </row>
    <row r="386" spans="1:7" x14ac:dyDescent="0.3">
      <c r="A386" s="16" t="s">
        <v>21</v>
      </c>
      <c r="B386" s="1" t="s">
        <v>16</v>
      </c>
      <c r="C386" s="1">
        <v>138</v>
      </c>
      <c r="D386" s="3">
        <v>118.92621733333333</v>
      </c>
      <c r="E386" s="2">
        <v>7.7619287999999997</v>
      </c>
      <c r="F386" s="4">
        <v>48.803840000000001</v>
      </c>
      <c r="G386" s="13">
        <v>16.224256000000004</v>
      </c>
    </row>
    <row r="387" spans="1:7" x14ac:dyDescent="0.3">
      <c r="A387" s="16" t="s">
        <v>21</v>
      </c>
      <c r="B387" s="1" t="s">
        <v>16</v>
      </c>
      <c r="C387" s="1">
        <v>144</v>
      </c>
      <c r="D387" s="3">
        <v>89.980466100000001</v>
      </c>
      <c r="E387" s="2">
        <v>7.5401163999999996</v>
      </c>
      <c r="F387" s="4">
        <v>48.758783999999999</v>
      </c>
      <c r="G387" s="13">
        <v>16.289791999999998</v>
      </c>
    </row>
    <row r="388" spans="1:7" x14ac:dyDescent="0.3">
      <c r="A388" s="16" t="s">
        <v>21</v>
      </c>
      <c r="B388" s="1" t="s">
        <v>16</v>
      </c>
      <c r="C388" s="1">
        <v>147</v>
      </c>
      <c r="D388" s="3">
        <v>128.27901953333333</v>
      </c>
      <c r="E388" s="2">
        <v>10.4610226</v>
      </c>
      <c r="F388" s="4">
        <v>48.775168000000001</v>
      </c>
      <c r="G388" s="13">
        <v>16.355327999999993</v>
      </c>
    </row>
    <row r="389" spans="1:7" x14ac:dyDescent="0.3">
      <c r="A389" s="16" t="s">
        <v>21</v>
      </c>
      <c r="B389" s="1" t="s">
        <v>16</v>
      </c>
      <c r="C389" s="1">
        <v>141</v>
      </c>
      <c r="D389" s="3">
        <v>141.59419919999999</v>
      </c>
      <c r="E389" s="2">
        <v>8.1109232000000002</v>
      </c>
      <c r="F389" s="4">
        <v>48.783360000000002</v>
      </c>
      <c r="G389" s="13">
        <v>16.257024000000001</v>
      </c>
    </row>
    <row r="390" spans="1:7" x14ac:dyDescent="0.3">
      <c r="A390" s="16" t="s">
        <v>21</v>
      </c>
      <c r="B390" s="1" t="s">
        <v>16</v>
      </c>
      <c r="C390" s="1">
        <v>149</v>
      </c>
      <c r="D390" s="3">
        <v>86.381740833333325</v>
      </c>
      <c r="E390" s="2">
        <v>9.0705627999999994</v>
      </c>
      <c r="F390" s="4">
        <v>48.803840000000001</v>
      </c>
      <c r="G390" s="13">
        <v>14.966783999999997</v>
      </c>
    </row>
    <row r="391" spans="1:7" x14ac:dyDescent="0.3">
      <c r="A391" s="16" t="s">
        <v>21</v>
      </c>
      <c r="B391" s="1" t="s">
        <v>16</v>
      </c>
      <c r="C391" s="1">
        <v>153</v>
      </c>
      <c r="D391" s="3">
        <v>110.11201176666667</v>
      </c>
      <c r="E391" s="2">
        <v>7.2321406000000001</v>
      </c>
      <c r="F391" s="4">
        <v>48.992255999999998</v>
      </c>
      <c r="G391" s="13">
        <v>16.125951999999998</v>
      </c>
    </row>
    <row r="392" spans="1:7" x14ac:dyDescent="0.3">
      <c r="A392" s="16" t="s">
        <v>21</v>
      </c>
      <c r="B392" s="1" t="s">
        <v>17</v>
      </c>
      <c r="C392" s="1">
        <v>141</v>
      </c>
      <c r="D392" s="3">
        <v>4.9699622333333338</v>
      </c>
      <c r="E392" s="2">
        <v>10.8165306</v>
      </c>
      <c r="F392" s="4">
        <v>49.229824000000001</v>
      </c>
      <c r="G392" s="13">
        <v>0.59391999999999712</v>
      </c>
    </row>
    <row r="393" spans="1:7" x14ac:dyDescent="0.3">
      <c r="A393" s="16" t="s">
        <v>21</v>
      </c>
      <c r="B393" s="1" t="s">
        <v>17</v>
      </c>
      <c r="C393" s="1">
        <v>141</v>
      </c>
      <c r="D393" s="3">
        <v>5.6742979</v>
      </c>
      <c r="E393" s="2">
        <v>9.4928983999999996</v>
      </c>
      <c r="F393" s="4">
        <v>48.795648</v>
      </c>
      <c r="G393" s="13">
        <v>0.73318400000000139</v>
      </c>
    </row>
    <row r="394" spans="1:7" x14ac:dyDescent="0.3">
      <c r="A394" s="16" t="s">
        <v>21</v>
      </c>
      <c r="B394" s="1" t="s">
        <v>17</v>
      </c>
      <c r="C394" s="1">
        <v>150</v>
      </c>
      <c r="D394" s="3">
        <v>4.1891914000000003</v>
      </c>
      <c r="E394" s="2">
        <v>9.4042273999999999</v>
      </c>
      <c r="F394" s="4">
        <v>48.766976</v>
      </c>
      <c r="G394" s="13">
        <v>1.0076159999999987</v>
      </c>
    </row>
    <row r="395" spans="1:7" x14ac:dyDescent="0.3">
      <c r="A395" s="16" t="s">
        <v>21</v>
      </c>
      <c r="B395" s="1" t="s">
        <v>17</v>
      </c>
      <c r="C395" s="1">
        <v>145</v>
      </c>
      <c r="D395" s="3">
        <v>4.5988620666666664</v>
      </c>
      <c r="E395" s="2">
        <v>9.7366793999999999</v>
      </c>
      <c r="F395" s="4">
        <v>48.951295999999999</v>
      </c>
      <c r="G395" s="13">
        <v>0.87244799999999856</v>
      </c>
    </row>
    <row r="396" spans="1:7" x14ac:dyDescent="0.3">
      <c r="A396" s="16" t="s">
        <v>21</v>
      </c>
      <c r="B396" s="1" t="s">
        <v>17</v>
      </c>
      <c r="C396" s="1">
        <v>156</v>
      </c>
      <c r="D396" s="3">
        <v>4.5877904333333337</v>
      </c>
      <c r="E396" s="2">
        <v>9.6681401999999999</v>
      </c>
      <c r="F396" s="4">
        <v>48.807935999999998</v>
      </c>
      <c r="G396" s="13">
        <v>0.65945599999999871</v>
      </c>
    </row>
    <row r="397" spans="1:7" x14ac:dyDescent="0.3">
      <c r="A397" s="16" t="s">
        <v>21</v>
      </c>
      <c r="B397" s="1" t="s">
        <v>17</v>
      </c>
      <c r="C397" s="1">
        <v>137</v>
      </c>
      <c r="D397" s="3">
        <v>3.8802214333333329</v>
      </c>
      <c r="E397" s="2">
        <v>8.8538435999999994</v>
      </c>
      <c r="F397" s="4">
        <v>48.799743999999997</v>
      </c>
      <c r="G397" s="13">
        <v>0.50380800000000647</v>
      </c>
    </row>
    <row r="398" spans="1:7" x14ac:dyDescent="0.3">
      <c r="A398" s="16" t="s">
        <v>21</v>
      </c>
      <c r="B398" s="1" t="s">
        <v>17</v>
      </c>
      <c r="C398" s="1">
        <v>143</v>
      </c>
      <c r="D398" s="3">
        <v>4.2800324999999999</v>
      </c>
      <c r="E398" s="2">
        <v>9.5434161999999993</v>
      </c>
      <c r="F398" s="4">
        <v>48.791552000000003</v>
      </c>
      <c r="G398" s="13">
        <v>0.69222399999999595</v>
      </c>
    </row>
    <row r="399" spans="1:7" x14ac:dyDescent="0.3">
      <c r="A399" s="16" t="s">
        <v>21</v>
      </c>
      <c r="B399" s="1" t="s">
        <v>17</v>
      </c>
      <c r="C399" s="1">
        <v>160</v>
      </c>
      <c r="D399" s="3">
        <v>4.9214557333333335</v>
      </c>
      <c r="E399" s="2">
        <v>10.0156638</v>
      </c>
      <c r="F399" s="4">
        <v>48.758783999999999</v>
      </c>
      <c r="G399" s="13">
        <v>0.72089600000000331</v>
      </c>
    </row>
    <row r="400" spans="1:7" x14ac:dyDescent="0.3">
      <c r="A400" s="16" t="s">
        <v>21</v>
      </c>
      <c r="B400" s="1" t="s">
        <v>17</v>
      </c>
      <c r="C400" s="1">
        <v>144</v>
      </c>
      <c r="D400" s="3">
        <v>5.0971042000000004</v>
      </c>
      <c r="E400" s="2">
        <v>10.682102</v>
      </c>
      <c r="F400" s="4">
        <v>48.762880000000003</v>
      </c>
      <c r="G400" s="13">
        <v>1.0117119999999957</v>
      </c>
    </row>
    <row r="401" spans="1:7" x14ac:dyDescent="0.3">
      <c r="A401" s="16" t="s">
        <v>21</v>
      </c>
      <c r="B401" s="1" t="s">
        <v>17</v>
      </c>
      <c r="C401" s="1">
        <v>138</v>
      </c>
      <c r="D401" s="3">
        <v>5.0845380000000002</v>
      </c>
      <c r="E401" s="2">
        <v>10.503757999999999</v>
      </c>
      <c r="F401" s="4">
        <v>48.799743999999997</v>
      </c>
      <c r="G401" s="13">
        <v>0.99942400000000475</v>
      </c>
    </row>
    <row r="402" spans="1:7" x14ac:dyDescent="0.3">
      <c r="A402" s="16" t="s">
        <v>21</v>
      </c>
      <c r="B402" s="1" t="s">
        <v>17</v>
      </c>
      <c r="C402" s="1">
        <v>144</v>
      </c>
      <c r="D402" s="3">
        <v>4.3018112000000004</v>
      </c>
      <c r="E402" s="2">
        <v>8.5861883999999993</v>
      </c>
      <c r="F402" s="4">
        <v>48.992255999999998</v>
      </c>
      <c r="G402" s="13">
        <v>0.84377600000000541</v>
      </c>
    </row>
    <row r="403" spans="1:7" x14ac:dyDescent="0.3">
      <c r="A403" s="16" t="s">
        <v>21</v>
      </c>
      <c r="B403" s="1" t="s">
        <v>17</v>
      </c>
      <c r="C403" s="1">
        <v>143</v>
      </c>
      <c r="D403" s="3">
        <v>4.6721966999999998</v>
      </c>
      <c r="E403" s="2">
        <v>10.070085600000001</v>
      </c>
      <c r="F403" s="4">
        <v>48.783360000000002</v>
      </c>
      <c r="G403" s="13">
        <v>0.6676479999999998</v>
      </c>
    </row>
    <row r="404" spans="1:7" x14ac:dyDescent="0.3">
      <c r="A404" s="16" t="s">
        <v>21</v>
      </c>
      <c r="B404" s="1" t="s">
        <v>17</v>
      </c>
      <c r="C404" s="1">
        <v>170</v>
      </c>
      <c r="D404" s="3">
        <v>5.032813833333333</v>
      </c>
      <c r="E404" s="2">
        <v>10.7006076</v>
      </c>
      <c r="F404" s="4">
        <v>48.779263999999998</v>
      </c>
      <c r="G404" s="13">
        <v>0.77004800000000273</v>
      </c>
    </row>
    <row r="405" spans="1:7" x14ac:dyDescent="0.3">
      <c r="A405" s="16" t="s">
        <v>21</v>
      </c>
      <c r="B405" s="1" t="s">
        <v>17</v>
      </c>
      <c r="C405" s="1">
        <v>140</v>
      </c>
      <c r="D405" s="3">
        <v>4.0898554999999996</v>
      </c>
      <c r="E405" s="2">
        <v>9.4302050000000008</v>
      </c>
      <c r="F405" s="4">
        <v>48.812032000000002</v>
      </c>
      <c r="G405" s="13">
        <v>0.52838399999999552</v>
      </c>
    </row>
    <row r="406" spans="1:7" x14ac:dyDescent="0.3">
      <c r="A406" s="16" t="s">
        <v>21</v>
      </c>
      <c r="B406" s="1" t="s">
        <v>17</v>
      </c>
      <c r="C406" s="1">
        <v>151</v>
      </c>
      <c r="D406" s="3">
        <v>5.0423553999999999</v>
      </c>
      <c r="E406" s="2">
        <v>9.4831020000000006</v>
      </c>
      <c r="F406" s="4">
        <v>48.758783999999999</v>
      </c>
      <c r="G406" s="13">
        <v>0.74137600000000248</v>
      </c>
    </row>
    <row r="407" spans="1:7" x14ac:dyDescent="0.3">
      <c r="A407" s="16" t="s">
        <v>21</v>
      </c>
      <c r="B407" s="1" t="s">
        <v>17</v>
      </c>
      <c r="C407" s="1">
        <v>145</v>
      </c>
      <c r="D407" s="3">
        <v>4.5987134000000003</v>
      </c>
      <c r="E407" s="2">
        <v>9.4627973999999995</v>
      </c>
      <c r="F407" s="4">
        <v>49.324032000000003</v>
      </c>
      <c r="G407" s="13">
        <v>0</v>
      </c>
    </row>
    <row r="408" spans="1:7" x14ac:dyDescent="0.3">
      <c r="A408" s="16" t="s">
        <v>21</v>
      </c>
      <c r="B408" s="1" t="s">
        <v>17</v>
      </c>
      <c r="C408" s="1">
        <v>146</v>
      </c>
      <c r="D408" s="3">
        <v>5.0753919666666665</v>
      </c>
      <c r="E408" s="2">
        <v>9.8128278000000009</v>
      </c>
      <c r="F408" s="4">
        <v>48.775168000000001</v>
      </c>
      <c r="G408" s="13">
        <v>0.67993599999999788</v>
      </c>
    </row>
    <row r="409" spans="1:7" x14ac:dyDescent="0.3">
      <c r="A409" s="16" t="s">
        <v>21</v>
      </c>
      <c r="B409" s="1" t="s">
        <v>17</v>
      </c>
      <c r="C409" s="1">
        <v>143</v>
      </c>
      <c r="D409" s="3">
        <v>4.8482331333333342</v>
      </c>
      <c r="E409" s="2">
        <v>9.9885876000000007</v>
      </c>
      <c r="F409" s="4">
        <v>48.795648</v>
      </c>
      <c r="G409" s="13">
        <v>1.0731520000000003</v>
      </c>
    </row>
    <row r="410" spans="1:7" x14ac:dyDescent="0.3">
      <c r="A410" s="16" t="s">
        <v>21</v>
      </c>
      <c r="B410" s="1" t="s">
        <v>17</v>
      </c>
      <c r="C410" s="1">
        <v>151</v>
      </c>
      <c r="D410" s="3">
        <v>4.4150429666666664</v>
      </c>
      <c r="E410" s="2">
        <v>9.9595230000000008</v>
      </c>
      <c r="F410" s="4">
        <v>48.799743999999997</v>
      </c>
      <c r="G410" s="13">
        <v>1.1100160000000017</v>
      </c>
    </row>
    <row r="411" spans="1:7" x14ac:dyDescent="0.3">
      <c r="A411" s="16" t="s">
        <v>21</v>
      </c>
      <c r="B411" s="1" t="s">
        <v>17</v>
      </c>
      <c r="C411" s="1">
        <v>142</v>
      </c>
      <c r="D411" s="3">
        <v>4.9178724000000003</v>
      </c>
      <c r="E411" s="2">
        <v>10.478562399999999</v>
      </c>
      <c r="F411" s="4">
        <v>48.795648</v>
      </c>
      <c r="G411" s="13">
        <v>1.0649599999999992</v>
      </c>
    </row>
    <row r="412" spans="1:7" x14ac:dyDescent="0.3">
      <c r="A412" s="16" t="s">
        <v>21</v>
      </c>
      <c r="B412" s="1" t="s">
        <v>17</v>
      </c>
      <c r="C412" s="1">
        <v>130</v>
      </c>
      <c r="D412" s="3">
        <v>4.152204433333333</v>
      </c>
      <c r="E412" s="2">
        <v>10.294086999999999</v>
      </c>
      <c r="F412" s="4">
        <v>48.791552000000003</v>
      </c>
      <c r="G412" s="13">
        <v>0.75775999999999755</v>
      </c>
    </row>
    <row r="413" spans="1:7" x14ac:dyDescent="0.3">
      <c r="A413" s="16" t="s">
        <v>21</v>
      </c>
      <c r="B413" s="1" t="s">
        <v>17</v>
      </c>
      <c r="C413" s="1">
        <v>134</v>
      </c>
      <c r="D413" s="3">
        <v>4.9891445333333335</v>
      </c>
      <c r="E413" s="2">
        <v>10.867234</v>
      </c>
      <c r="F413" s="4">
        <v>48.783360000000002</v>
      </c>
      <c r="G413" s="13">
        <v>0.70451200000000114</v>
      </c>
    </row>
    <row r="414" spans="1:7" x14ac:dyDescent="0.3">
      <c r="A414" s="16" t="s">
        <v>21</v>
      </c>
      <c r="B414" s="1" t="s">
        <v>17</v>
      </c>
      <c r="C414" s="1">
        <v>136</v>
      </c>
      <c r="D414" s="3">
        <v>4.6206354333333337</v>
      </c>
      <c r="E414" s="2">
        <v>10.015772200000001</v>
      </c>
      <c r="F414" s="4">
        <v>48.787455999999999</v>
      </c>
      <c r="G414" s="13">
        <v>1.0649599999999992</v>
      </c>
    </row>
    <row r="415" spans="1:7" x14ac:dyDescent="0.3">
      <c r="A415" s="16" t="s">
        <v>21</v>
      </c>
      <c r="B415" s="1" t="s">
        <v>17</v>
      </c>
      <c r="C415" s="1">
        <v>154</v>
      </c>
      <c r="D415" s="3">
        <v>4.3055298666666664</v>
      </c>
      <c r="E415" s="2">
        <v>9.7782876000000005</v>
      </c>
      <c r="F415" s="4">
        <v>48.812032000000002</v>
      </c>
      <c r="G415" s="13">
        <v>1.0731520000000003</v>
      </c>
    </row>
    <row r="416" spans="1:7" x14ac:dyDescent="0.3">
      <c r="A416" s="16" t="s">
        <v>21</v>
      </c>
      <c r="B416" s="1" t="s">
        <v>17</v>
      </c>
      <c r="C416" s="1">
        <v>131</v>
      </c>
      <c r="D416" s="3">
        <v>5.1921418333333333</v>
      </c>
      <c r="E416" s="2">
        <v>11.135538199999999</v>
      </c>
      <c r="F416" s="4">
        <v>48.766976</v>
      </c>
      <c r="G416" s="13">
        <v>1.0936319999999995</v>
      </c>
    </row>
    <row r="417" spans="1:7" x14ac:dyDescent="0.3">
      <c r="A417" s="16" t="s">
        <v>21</v>
      </c>
      <c r="B417" s="1" t="s">
        <v>17</v>
      </c>
      <c r="C417" s="1">
        <v>149</v>
      </c>
      <c r="D417" s="3">
        <v>3.9414296666666666</v>
      </c>
      <c r="E417" s="2">
        <v>9.6432897999999998</v>
      </c>
      <c r="F417" s="4">
        <v>48.795648</v>
      </c>
      <c r="G417" s="13">
        <v>0.69222400000000306</v>
      </c>
    </row>
    <row r="418" spans="1:7" x14ac:dyDescent="0.3">
      <c r="A418" s="16" t="s">
        <v>21</v>
      </c>
      <c r="B418" s="1" t="s">
        <v>17</v>
      </c>
      <c r="C418" s="1">
        <v>142</v>
      </c>
      <c r="D418" s="3">
        <v>4.5293581333333339</v>
      </c>
      <c r="E418" s="2">
        <v>8.9108982000000001</v>
      </c>
      <c r="F418" s="4">
        <v>48.852992</v>
      </c>
      <c r="G418" s="13">
        <v>0.99532800000000066</v>
      </c>
    </row>
    <row r="419" spans="1:7" x14ac:dyDescent="0.3">
      <c r="A419" s="16" t="s">
        <v>21</v>
      </c>
      <c r="B419" s="1" t="s">
        <v>17</v>
      </c>
      <c r="C419" s="1">
        <v>137</v>
      </c>
      <c r="D419" s="3">
        <v>5.0256615</v>
      </c>
      <c r="E419" s="2">
        <v>9.6317500000000003</v>
      </c>
      <c r="F419" s="4">
        <v>48.775168000000001</v>
      </c>
      <c r="G419" s="13">
        <v>1.1182080000000028</v>
      </c>
    </row>
    <row r="420" spans="1:7" x14ac:dyDescent="0.3">
      <c r="A420" s="16" t="s">
        <v>21</v>
      </c>
      <c r="B420" s="1" t="s">
        <v>17</v>
      </c>
      <c r="C420" s="1">
        <v>147</v>
      </c>
      <c r="D420" s="3">
        <v>4.433782466666667</v>
      </c>
      <c r="E420" s="2">
        <v>9.4583124000000005</v>
      </c>
      <c r="F420" s="4">
        <v>48.771071999999997</v>
      </c>
      <c r="G420" s="13">
        <v>0.73728000000000549</v>
      </c>
    </row>
    <row r="421" spans="1:7" x14ac:dyDescent="0.3">
      <c r="A421" s="16" t="s">
        <v>21</v>
      </c>
      <c r="B421" s="1" t="s">
        <v>17</v>
      </c>
      <c r="C421" s="1">
        <v>159</v>
      </c>
      <c r="D421" s="3">
        <v>4.959772066666666</v>
      </c>
      <c r="E421" s="2">
        <v>9.0243832000000008</v>
      </c>
      <c r="F421" s="4">
        <v>48.799743999999997</v>
      </c>
      <c r="G421" s="13">
        <v>1.0649600000000063</v>
      </c>
    </row>
    <row r="422" spans="1:7" x14ac:dyDescent="0.3">
      <c r="A422" s="16" t="s">
        <v>21</v>
      </c>
      <c r="B422" s="1" t="s">
        <v>18</v>
      </c>
      <c r="C422" s="1">
        <v>149</v>
      </c>
      <c r="D422" s="3">
        <v>60.4415233</v>
      </c>
      <c r="E422" s="2">
        <v>20.558578399999998</v>
      </c>
      <c r="F422" s="4">
        <v>48.844799999999999</v>
      </c>
      <c r="G422" s="13">
        <v>6.1439999999999984</v>
      </c>
    </row>
    <row r="423" spans="1:7" x14ac:dyDescent="0.3">
      <c r="A423" s="16" t="s">
        <v>21</v>
      </c>
      <c r="B423" s="1" t="s">
        <v>18</v>
      </c>
      <c r="C423" s="1">
        <v>137</v>
      </c>
      <c r="D423" s="3">
        <v>60.358460966666669</v>
      </c>
      <c r="E423" s="2">
        <v>21.2296932</v>
      </c>
      <c r="F423" s="4">
        <v>48.799743999999997</v>
      </c>
      <c r="G423" s="13">
        <v>5.9351040000000026</v>
      </c>
    </row>
    <row r="424" spans="1:7" x14ac:dyDescent="0.3">
      <c r="A424" s="16" t="s">
        <v>21</v>
      </c>
      <c r="B424" s="1" t="s">
        <v>18</v>
      </c>
      <c r="C424" s="1">
        <v>137</v>
      </c>
      <c r="D424" s="3">
        <v>60.501969966666671</v>
      </c>
      <c r="E424" s="2">
        <v>25.8821008</v>
      </c>
      <c r="F424" s="4">
        <v>48.865279999999998</v>
      </c>
      <c r="G424" s="13">
        <v>5.8818559999999991</v>
      </c>
    </row>
    <row r="425" spans="1:7" x14ac:dyDescent="0.3">
      <c r="A425" s="16" t="s">
        <v>21</v>
      </c>
      <c r="B425" s="1" t="s">
        <v>18</v>
      </c>
      <c r="C425" s="1">
        <v>136</v>
      </c>
      <c r="D425" s="3">
        <v>60.405867233333332</v>
      </c>
      <c r="E425" s="2">
        <v>20.894850399999999</v>
      </c>
      <c r="F425" s="4">
        <v>49.299455999999999</v>
      </c>
      <c r="G425" s="13">
        <v>5.8449919999999977</v>
      </c>
    </row>
    <row r="426" spans="1:7" x14ac:dyDescent="0.3">
      <c r="A426" s="16" t="s">
        <v>21</v>
      </c>
      <c r="B426" s="1" t="s">
        <v>18</v>
      </c>
      <c r="C426" s="1">
        <v>141</v>
      </c>
      <c r="D426" s="3">
        <v>60.467444133333331</v>
      </c>
      <c r="E426" s="2">
        <v>25.8264374</v>
      </c>
      <c r="F426" s="4">
        <v>48.766976</v>
      </c>
      <c r="G426" s="13">
        <v>6.4348159999999979</v>
      </c>
    </row>
    <row r="427" spans="1:7" x14ac:dyDescent="0.3">
      <c r="A427" s="16" t="s">
        <v>21</v>
      </c>
      <c r="B427" s="1" t="s">
        <v>18</v>
      </c>
      <c r="C427" s="1">
        <v>156</v>
      </c>
      <c r="D427" s="3">
        <v>60.234420633333336</v>
      </c>
      <c r="E427" s="2">
        <v>26.897459999999999</v>
      </c>
      <c r="F427" s="4">
        <v>48.799743999999997</v>
      </c>
      <c r="G427" s="13">
        <v>5.980160000000005</v>
      </c>
    </row>
    <row r="428" spans="1:7" x14ac:dyDescent="0.3">
      <c r="A428" s="16" t="s">
        <v>21</v>
      </c>
      <c r="B428" s="1" t="s">
        <v>18</v>
      </c>
      <c r="C428" s="1">
        <v>171</v>
      </c>
      <c r="D428" s="3">
        <v>60.337221299999996</v>
      </c>
      <c r="E428" s="2">
        <v>20.820546799999999</v>
      </c>
      <c r="F428" s="4">
        <v>48.930816</v>
      </c>
      <c r="G428" s="13">
        <v>6.2791679999999985</v>
      </c>
    </row>
    <row r="429" spans="1:7" x14ac:dyDescent="0.3">
      <c r="A429" s="16" t="s">
        <v>21</v>
      </c>
      <c r="B429" s="1" t="s">
        <v>18</v>
      </c>
      <c r="C429" s="1">
        <v>141</v>
      </c>
      <c r="D429" s="3">
        <v>60.360902233333334</v>
      </c>
      <c r="E429" s="2">
        <v>27.401797999999999</v>
      </c>
      <c r="F429" s="4">
        <v>49.197056000000003</v>
      </c>
      <c r="G429" s="13">
        <v>5.525503999999998</v>
      </c>
    </row>
    <row r="430" spans="1:7" x14ac:dyDescent="0.3">
      <c r="A430" s="16" t="s">
        <v>21</v>
      </c>
      <c r="B430" s="1" t="s">
        <v>18</v>
      </c>
      <c r="C430" s="1">
        <v>130</v>
      </c>
      <c r="D430" s="3">
        <v>60.334911333333338</v>
      </c>
      <c r="E430" s="2">
        <v>20.207054400000001</v>
      </c>
      <c r="F430" s="4">
        <v>48.775168000000001</v>
      </c>
      <c r="G430" s="13">
        <v>6.1358079999999973</v>
      </c>
    </row>
    <row r="431" spans="1:7" x14ac:dyDescent="0.3">
      <c r="A431" s="16" t="s">
        <v>21</v>
      </c>
      <c r="B431" s="1" t="s">
        <v>18</v>
      </c>
      <c r="C431" s="1">
        <v>149</v>
      </c>
      <c r="D431" s="3">
        <v>60.594894500000002</v>
      </c>
      <c r="E431" s="2">
        <v>22.827485800000002</v>
      </c>
      <c r="F431" s="4">
        <v>48.926720000000003</v>
      </c>
      <c r="G431" s="13">
        <v>5.8245119999999986</v>
      </c>
    </row>
    <row r="432" spans="1:7" x14ac:dyDescent="0.3">
      <c r="A432" s="16" t="s">
        <v>21</v>
      </c>
      <c r="B432" s="1" t="s">
        <v>18</v>
      </c>
      <c r="C432" s="1">
        <v>145</v>
      </c>
      <c r="D432" s="3">
        <v>60.749910166666666</v>
      </c>
      <c r="E432" s="2">
        <v>20.675366799999999</v>
      </c>
      <c r="F432" s="4">
        <v>48.431103999999998</v>
      </c>
      <c r="G432" s="13">
        <v>6.5290239999999997</v>
      </c>
    </row>
    <row r="433" spans="1:7" x14ac:dyDescent="0.3">
      <c r="A433" s="16" t="s">
        <v>21</v>
      </c>
      <c r="B433" s="1" t="s">
        <v>18</v>
      </c>
      <c r="C433" s="1">
        <v>157</v>
      </c>
      <c r="D433" s="3">
        <v>60.317774733333337</v>
      </c>
      <c r="E433" s="2">
        <v>20.077407000000001</v>
      </c>
      <c r="F433" s="4">
        <v>48.832512000000001</v>
      </c>
      <c r="G433" s="13">
        <v>5.8900480000000002</v>
      </c>
    </row>
    <row r="434" spans="1:7" x14ac:dyDescent="0.3">
      <c r="A434" s="16" t="s">
        <v>21</v>
      </c>
      <c r="B434" s="1" t="s">
        <v>18</v>
      </c>
      <c r="C434" s="1">
        <v>163</v>
      </c>
      <c r="D434" s="3">
        <v>60.522658799999995</v>
      </c>
      <c r="E434" s="2">
        <v>20.473358399999999</v>
      </c>
      <c r="F434" s="4">
        <v>48.82432</v>
      </c>
      <c r="G434" s="13">
        <v>5.7057280000000006</v>
      </c>
    </row>
    <row r="435" spans="1:7" x14ac:dyDescent="0.3">
      <c r="A435" s="16" t="s">
        <v>21</v>
      </c>
      <c r="B435" s="1" t="s">
        <v>18</v>
      </c>
      <c r="C435" s="1">
        <v>139</v>
      </c>
      <c r="D435" s="3">
        <v>60.359462166666667</v>
      </c>
      <c r="E435" s="2">
        <v>20.608765999999999</v>
      </c>
      <c r="F435" s="4">
        <v>48.893951999999999</v>
      </c>
      <c r="G435" s="13">
        <v>6.1194240000000022</v>
      </c>
    </row>
    <row r="436" spans="1:7" x14ac:dyDescent="0.3">
      <c r="A436" s="16" t="s">
        <v>21</v>
      </c>
      <c r="B436" s="1" t="s">
        <v>18</v>
      </c>
      <c r="C436" s="1">
        <v>161</v>
      </c>
      <c r="D436" s="3">
        <v>60.457903633333331</v>
      </c>
      <c r="E436" s="2">
        <v>28.188672400000002</v>
      </c>
      <c r="F436" s="4">
        <v>48.918528000000002</v>
      </c>
      <c r="G436" s="13">
        <v>5.644287999999996</v>
      </c>
    </row>
    <row r="437" spans="1:7" x14ac:dyDescent="0.3">
      <c r="A437" s="16" t="s">
        <v>21</v>
      </c>
      <c r="B437" s="1" t="s">
        <v>18</v>
      </c>
      <c r="C437" s="1">
        <v>135</v>
      </c>
      <c r="D437" s="3">
        <v>60.468860766666666</v>
      </c>
      <c r="E437" s="2">
        <v>21.413837000000001</v>
      </c>
      <c r="F437" s="4">
        <v>48.873472</v>
      </c>
      <c r="G437" s="13">
        <v>5.7303040000000038</v>
      </c>
    </row>
    <row r="438" spans="1:7" x14ac:dyDescent="0.3">
      <c r="A438" s="16" t="s">
        <v>21</v>
      </c>
      <c r="B438" s="1" t="s">
        <v>18</v>
      </c>
      <c r="C438" s="1">
        <v>143</v>
      </c>
      <c r="D438" s="3">
        <v>60.465670466666666</v>
      </c>
      <c r="E438" s="2">
        <v>20.367930000000001</v>
      </c>
      <c r="F438" s="4">
        <v>48.771071999999997</v>
      </c>
      <c r="G438" s="13">
        <v>5.9064320000000023</v>
      </c>
    </row>
    <row r="439" spans="1:7" x14ac:dyDescent="0.3">
      <c r="A439" s="16" t="s">
        <v>21</v>
      </c>
      <c r="B439" s="1" t="s">
        <v>18</v>
      </c>
      <c r="C439" s="1">
        <v>142</v>
      </c>
      <c r="D439" s="3">
        <v>60.265104066666673</v>
      </c>
      <c r="E439" s="2">
        <v>20.6363126</v>
      </c>
      <c r="F439" s="4">
        <v>48.848896000000003</v>
      </c>
      <c r="G439" s="13">
        <v>5.9269119999999944</v>
      </c>
    </row>
    <row r="440" spans="1:7" x14ac:dyDescent="0.3">
      <c r="A440" s="16" t="s">
        <v>21</v>
      </c>
      <c r="B440" s="1" t="s">
        <v>18</v>
      </c>
      <c r="C440" s="1">
        <v>137</v>
      </c>
      <c r="D440" s="3">
        <v>60.678548166666666</v>
      </c>
      <c r="E440" s="2">
        <v>21.3428842</v>
      </c>
      <c r="F440" s="4">
        <v>48.877567999999997</v>
      </c>
      <c r="G440" s="13">
        <v>5.6606720000000053</v>
      </c>
    </row>
    <row r="441" spans="1:7" x14ac:dyDescent="0.3">
      <c r="A441" s="16" t="s">
        <v>21</v>
      </c>
      <c r="B441" s="1" t="s">
        <v>18</v>
      </c>
      <c r="C441" s="1">
        <v>132</v>
      </c>
      <c r="D441" s="3">
        <v>60.30202486666667</v>
      </c>
      <c r="E441" s="2">
        <v>27.914890199999999</v>
      </c>
      <c r="F441" s="4">
        <v>48.779263999999998</v>
      </c>
      <c r="G441" s="13">
        <v>5.8736640000000051</v>
      </c>
    </row>
    <row r="442" spans="1:7" x14ac:dyDescent="0.3">
      <c r="A442" s="16" t="s">
        <v>21</v>
      </c>
      <c r="B442" s="1" t="s">
        <v>18</v>
      </c>
      <c r="C442" s="1">
        <v>137</v>
      </c>
      <c r="D442" s="3">
        <v>60.273438766666665</v>
      </c>
      <c r="E442" s="2">
        <v>24.500742800000001</v>
      </c>
      <c r="F442" s="4">
        <v>48.783360000000002</v>
      </c>
      <c r="G442" s="13">
        <v>5.992447999999996</v>
      </c>
    </row>
    <row r="443" spans="1:7" x14ac:dyDescent="0.3">
      <c r="A443" s="16" t="s">
        <v>21</v>
      </c>
      <c r="B443" s="1" t="s">
        <v>18</v>
      </c>
      <c r="C443" s="1">
        <v>134</v>
      </c>
      <c r="D443" s="3">
        <v>60.173899799999994</v>
      </c>
      <c r="E443" s="2">
        <v>20.084663599999999</v>
      </c>
      <c r="F443" s="4">
        <v>48.783360000000002</v>
      </c>
      <c r="G443" s="13">
        <v>5.9064319999999952</v>
      </c>
    </row>
    <row r="444" spans="1:7" x14ac:dyDescent="0.3">
      <c r="A444" s="16" t="s">
        <v>21</v>
      </c>
      <c r="B444" s="1" t="s">
        <v>18</v>
      </c>
      <c r="C444" s="1">
        <v>132</v>
      </c>
      <c r="D444" s="3">
        <v>60.345215000000003</v>
      </c>
      <c r="E444" s="2">
        <v>21.0382414</v>
      </c>
      <c r="F444" s="4">
        <v>48.369664</v>
      </c>
      <c r="G444" s="13">
        <v>6.1603840000000005</v>
      </c>
    </row>
    <row r="445" spans="1:7" x14ac:dyDescent="0.3">
      <c r="A445" s="16" t="s">
        <v>21</v>
      </c>
      <c r="B445" s="1" t="s">
        <v>18</v>
      </c>
      <c r="C445" s="1">
        <v>167</v>
      </c>
      <c r="D445" s="3">
        <v>60.325364566666671</v>
      </c>
      <c r="E445" s="2">
        <v>20.092945199999999</v>
      </c>
      <c r="F445" s="4">
        <v>48.885759999999998</v>
      </c>
      <c r="G445" s="13">
        <v>5.9228160000000045</v>
      </c>
    </row>
    <row r="446" spans="1:7" x14ac:dyDescent="0.3">
      <c r="A446" s="16" t="s">
        <v>21</v>
      </c>
      <c r="B446" s="1" t="s">
        <v>18</v>
      </c>
      <c r="C446" s="1">
        <v>135</v>
      </c>
      <c r="D446" s="3">
        <v>60.362901066666673</v>
      </c>
      <c r="E446" s="2">
        <v>26.889625200000001</v>
      </c>
      <c r="F446" s="4">
        <v>48.861184000000002</v>
      </c>
      <c r="G446" s="13">
        <v>5.9187200000000004</v>
      </c>
    </row>
    <row r="447" spans="1:7" x14ac:dyDescent="0.3">
      <c r="A447" s="16" t="s">
        <v>21</v>
      </c>
      <c r="B447" s="1" t="s">
        <v>18</v>
      </c>
      <c r="C447" s="1">
        <v>135</v>
      </c>
      <c r="D447" s="3">
        <v>60.700036400000002</v>
      </c>
      <c r="E447" s="2">
        <v>25.141726599999998</v>
      </c>
      <c r="F447" s="4">
        <v>48.832512000000001</v>
      </c>
      <c r="G447" s="13">
        <v>5.984256000000002</v>
      </c>
    </row>
    <row r="448" spans="1:7" x14ac:dyDescent="0.3">
      <c r="A448" s="16" t="s">
        <v>21</v>
      </c>
      <c r="B448" s="1" t="s">
        <v>18</v>
      </c>
      <c r="C448" s="1">
        <v>133</v>
      </c>
      <c r="D448" s="3">
        <v>60.328885299999996</v>
      </c>
      <c r="E448" s="2">
        <v>21.873086199999999</v>
      </c>
      <c r="F448" s="4">
        <v>48.902144</v>
      </c>
      <c r="G448" s="13">
        <v>5.7794560000000033</v>
      </c>
    </row>
    <row r="449" spans="1:7" x14ac:dyDescent="0.3">
      <c r="A449" s="16" t="s">
        <v>21</v>
      </c>
      <c r="B449" s="1" t="s">
        <v>18</v>
      </c>
      <c r="C449" s="1">
        <v>150</v>
      </c>
      <c r="D449" s="3">
        <v>60.4027083</v>
      </c>
      <c r="E449" s="2">
        <v>25.093468999999999</v>
      </c>
      <c r="F449" s="4">
        <v>48.906239999999997</v>
      </c>
      <c r="G449" s="13">
        <v>5.9596800000000059</v>
      </c>
    </row>
    <row r="450" spans="1:7" x14ac:dyDescent="0.3">
      <c r="A450" s="16" t="s">
        <v>21</v>
      </c>
      <c r="B450" s="1" t="s">
        <v>18</v>
      </c>
      <c r="C450" s="1">
        <v>147</v>
      </c>
      <c r="D450" s="3">
        <v>60.466562566666667</v>
      </c>
      <c r="E450" s="2">
        <v>19.948405600000001</v>
      </c>
      <c r="F450" s="4">
        <v>48.922623999999999</v>
      </c>
      <c r="G450" s="13">
        <v>5.9965440000000001</v>
      </c>
    </row>
    <row r="451" spans="1:7" x14ac:dyDescent="0.3">
      <c r="A451" s="16" t="s">
        <v>21</v>
      </c>
      <c r="B451" s="1" t="s">
        <v>18</v>
      </c>
      <c r="C451" s="1">
        <v>133</v>
      </c>
      <c r="D451" s="3">
        <v>60.350791566666672</v>
      </c>
      <c r="E451" s="2">
        <v>28.0054452</v>
      </c>
      <c r="F451" s="4">
        <v>48.865279999999998</v>
      </c>
      <c r="G451" s="13">
        <v>5.6647680000000022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606B-E1AA-4707-B619-8D87F50A054F}">
  <dimension ref="A1:E52"/>
  <sheetViews>
    <sheetView tabSelected="1" topLeftCell="A25" workbookViewId="0">
      <selection activeCell="N44" sqref="N44"/>
    </sheetView>
  </sheetViews>
  <sheetFormatPr defaultRowHeight="14.4" x14ac:dyDescent="0.3"/>
  <cols>
    <col min="1" max="1" width="22.44140625" customWidth="1"/>
    <col min="2" max="2" width="15.5546875" bestFit="1" customWidth="1"/>
    <col min="3" max="3" width="8.44140625" bestFit="1" customWidth="1"/>
    <col min="4" max="4" width="8.6640625" bestFit="1" customWidth="1"/>
    <col min="5" max="5" width="7" bestFit="1" customWidth="1"/>
  </cols>
  <sheetData>
    <row r="1" spans="1:5" x14ac:dyDescent="0.3">
      <c r="A1" s="17" t="s">
        <v>25</v>
      </c>
      <c r="B1" s="17" t="s">
        <v>26</v>
      </c>
      <c r="C1" s="17" t="s">
        <v>19</v>
      </c>
      <c r="D1" s="17" t="s">
        <v>20</v>
      </c>
      <c r="E1" s="17" t="s">
        <v>21</v>
      </c>
    </row>
    <row r="2" spans="1:5" x14ac:dyDescent="0.3">
      <c r="A2" s="17" t="s">
        <v>37</v>
      </c>
      <c r="B2" s="18">
        <v>0.94099999999999995</v>
      </c>
      <c r="C2" s="18">
        <v>2</v>
      </c>
      <c r="D2" s="18">
        <v>1</v>
      </c>
      <c r="E2" s="18">
        <v>3</v>
      </c>
    </row>
    <row r="3" spans="1:5" x14ac:dyDescent="0.3">
      <c r="A3" s="17" t="s">
        <v>38</v>
      </c>
      <c r="B3" s="18">
        <v>5.1999999999999998E-2</v>
      </c>
      <c r="C3" s="18">
        <v>2</v>
      </c>
      <c r="D3" s="18">
        <v>1</v>
      </c>
      <c r="E3" s="18">
        <v>3</v>
      </c>
    </row>
    <row r="4" spans="1:5" x14ac:dyDescent="0.3">
      <c r="A4" s="17" t="s">
        <v>27</v>
      </c>
      <c r="B4" s="18">
        <v>0.745</v>
      </c>
      <c r="C4" s="18">
        <v>2</v>
      </c>
      <c r="D4" s="18">
        <v>1</v>
      </c>
      <c r="E4" s="18">
        <v>3</v>
      </c>
    </row>
    <row r="5" spans="1:5" x14ac:dyDescent="0.3">
      <c r="A5" s="19" t="s">
        <v>28</v>
      </c>
      <c r="B5" s="20" t="s">
        <v>30</v>
      </c>
      <c r="C5" s="20">
        <f>SUM(C2:C4)</f>
        <v>6</v>
      </c>
      <c r="D5" s="20">
        <f t="shared" ref="D5:E5" si="0">SUM(D2:D4)</f>
        <v>3</v>
      </c>
      <c r="E5" s="20">
        <f t="shared" si="0"/>
        <v>9</v>
      </c>
    </row>
    <row r="6" spans="1:5" x14ac:dyDescent="0.3">
      <c r="A6" s="19" t="s">
        <v>29</v>
      </c>
      <c r="B6" s="20" t="s">
        <v>30</v>
      </c>
      <c r="C6" s="20">
        <f>C2*$B2+C3*$B3+C4*$B4</f>
        <v>3.476</v>
      </c>
      <c r="D6" s="20">
        <f t="shared" ref="D6:E6" si="1">D2*$B2+D3*$B3+D4*$B4</f>
        <v>1.738</v>
      </c>
      <c r="E6" s="20">
        <f t="shared" si="1"/>
        <v>5.2140000000000004</v>
      </c>
    </row>
    <row r="7" spans="1:5" x14ac:dyDescent="0.3">
      <c r="A7" s="17"/>
      <c r="B7" s="17"/>
      <c r="C7" s="17"/>
      <c r="D7" s="17"/>
      <c r="E7" s="17"/>
    </row>
    <row r="9" spans="1:5" x14ac:dyDescent="0.3">
      <c r="A9" s="17" t="s">
        <v>31</v>
      </c>
      <c r="B9" s="17" t="s">
        <v>26</v>
      </c>
      <c r="C9" s="17" t="s">
        <v>19</v>
      </c>
      <c r="D9" s="17" t="s">
        <v>20</v>
      </c>
      <c r="E9" s="17" t="s">
        <v>21</v>
      </c>
    </row>
    <row r="10" spans="1:5" x14ac:dyDescent="0.3">
      <c r="A10" s="17" t="s">
        <v>37</v>
      </c>
      <c r="B10" s="18">
        <v>0.96</v>
      </c>
      <c r="C10" s="18">
        <v>2</v>
      </c>
      <c r="D10" s="18">
        <v>1</v>
      </c>
      <c r="E10" s="18">
        <v>3</v>
      </c>
    </row>
    <row r="11" spans="1:5" x14ac:dyDescent="0.3">
      <c r="A11" s="17" t="s">
        <v>38</v>
      </c>
      <c r="B11" s="18">
        <v>0.94199999999999995</v>
      </c>
      <c r="C11" s="18">
        <v>2</v>
      </c>
      <c r="D11" s="18">
        <v>1</v>
      </c>
      <c r="E11" s="18">
        <v>3</v>
      </c>
    </row>
    <row r="12" spans="1:5" x14ac:dyDescent="0.3">
      <c r="A12" s="17" t="s">
        <v>27</v>
      </c>
      <c r="B12" s="18">
        <v>4.0000000000000001E-3</v>
      </c>
      <c r="C12" s="18">
        <v>3</v>
      </c>
      <c r="D12" s="18">
        <v>1</v>
      </c>
      <c r="E12" s="18">
        <v>2</v>
      </c>
    </row>
    <row r="13" spans="1:5" x14ac:dyDescent="0.3">
      <c r="A13" s="19" t="s">
        <v>28</v>
      </c>
      <c r="B13" s="20" t="s">
        <v>30</v>
      </c>
      <c r="C13" s="20">
        <f>SUM(C10:C12)</f>
        <v>7</v>
      </c>
      <c r="D13" s="20">
        <f t="shared" ref="D13" si="2">SUM(D10:D12)</f>
        <v>3</v>
      </c>
      <c r="E13" s="20">
        <f t="shared" ref="E13" si="3">SUM(E10:E12)</f>
        <v>8</v>
      </c>
    </row>
    <row r="14" spans="1:5" x14ac:dyDescent="0.3">
      <c r="A14" s="19" t="s">
        <v>29</v>
      </c>
      <c r="B14" s="20" t="s">
        <v>30</v>
      </c>
      <c r="C14" s="20">
        <f>C10*$B10+C11*$B11+C12*$B12</f>
        <v>3.8159999999999998</v>
      </c>
      <c r="D14" s="20">
        <f t="shared" ref="D14:E14" si="4">D10*$B10+D11*$B11+D12*$B12</f>
        <v>1.9059999999999999</v>
      </c>
      <c r="E14" s="20">
        <f t="shared" si="4"/>
        <v>5.7139999999999995</v>
      </c>
    </row>
    <row r="17" spans="1:5" x14ac:dyDescent="0.3">
      <c r="A17" s="17" t="s">
        <v>32</v>
      </c>
      <c r="B17" s="17" t="s">
        <v>26</v>
      </c>
      <c r="C17" s="17" t="s">
        <v>19</v>
      </c>
      <c r="D17" s="17" t="s">
        <v>20</v>
      </c>
      <c r="E17" s="17" t="s">
        <v>21</v>
      </c>
    </row>
    <row r="18" spans="1:5" x14ac:dyDescent="0.3">
      <c r="A18" s="17" t="s">
        <v>37</v>
      </c>
      <c r="B18" s="18">
        <v>0.17899999999999999</v>
      </c>
      <c r="C18" s="18">
        <v>3</v>
      </c>
      <c r="D18" s="18">
        <v>1</v>
      </c>
      <c r="E18" s="18">
        <v>2</v>
      </c>
    </row>
    <row r="19" spans="1:5" x14ac:dyDescent="0.3">
      <c r="A19" s="17" t="s">
        <v>38</v>
      </c>
      <c r="B19" s="18">
        <v>0.158</v>
      </c>
      <c r="C19" s="18">
        <v>3</v>
      </c>
      <c r="D19" s="18">
        <v>1</v>
      </c>
      <c r="E19" s="18">
        <v>2</v>
      </c>
    </row>
    <row r="20" spans="1:5" x14ac:dyDescent="0.3">
      <c r="A20" s="17" t="s">
        <v>27</v>
      </c>
      <c r="B20" s="18">
        <v>0.997</v>
      </c>
      <c r="C20" s="18">
        <v>1</v>
      </c>
      <c r="D20" s="18">
        <v>3</v>
      </c>
      <c r="E20" s="18">
        <v>2</v>
      </c>
    </row>
    <row r="21" spans="1:5" x14ac:dyDescent="0.3">
      <c r="A21" s="19" t="s">
        <v>28</v>
      </c>
      <c r="B21" s="20" t="s">
        <v>30</v>
      </c>
      <c r="C21" s="20">
        <f>SUM(C18:C20)</f>
        <v>7</v>
      </c>
      <c r="D21" s="20">
        <f t="shared" ref="D21" si="5">SUM(D18:D20)</f>
        <v>5</v>
      </c>
      <c r="E21" s="20">
        <f t="shared" ref="E21" si="6">SUM(E18:E20)</f>
        <v>6</v>
      </c>
    </row>
    <row r="22" spans="1:5" x14ac:dyDescent="0.3">
      <c r="A22" s="19" t="s">
        <v>29</v>
      </c>
      <c r="B22" s="20" t="s">
        <v>30</v>
      </c>
      <c r="C22" s="20">
        <f>C18*$B18+C19*$B19+C20*$B20</f>
        <v>2.008</v>
      </c>
      <c r="D22" s="20">
        <f t="shared" ref="D22:E22" si="7">D18*$B18+D19*$B19+D20*$B20</f>
        <v>3.3280000000000003</v>
      </c>
      <c r="E22" s="20">
        <f t="shared" si="7"/>
        <v>2.6680000000000001</v>
      </c>
    </row>
    <row r="25" spans="1:5" x14ac:dyDescent="0.3">
      <c r="A25" s="17" t="s">
        <v>33</v>
      </c>
      <c r="B25" s="17" t="s">
        <v>26</v>
      </c>
      <c r="C25" s="17" t="s">
        <v>19</v>
      </c>
      <c r="D25" s="17" t="s">
        <v>20</v>
      </c>
      <c r="E25" s="17" t="s">
        <v>21</v>
      </c>
    </row>
    <row r="26" spans="1:5" x14ac:dyDescent="0.3">
      <c r="A26" s="17" t="s">
        <v>37</v>
      </c>
      <c r="B26" s="18">
        <v>0.82799999999999996</v>
      </c>
      <c r="C26" s="18">
        <v>2</v>
      </c>
      <c r="D26" s="18">
        <v>1</v>
      </c>
      <c r="E26" s="18">
        <v>3</v>
      </c>
    </row>
    <row r="27" spans="1:5" x14ac:dyDescent="0.3">
      <c r="A27" s="17" t="s">
        <v>38</v>
      </c>
      <c r="B27" s="18">
        <v>0.17699999999999999</v>
      </c>
      <c r="C27" s="18">
        <v>3</v>
      </c>
      <c r="D27" s="18">
        <v>1</v>
      </c>
      <c r="E27" s="18">
        <v>2</v>
      </c>
    </row>
    <row r="28" spans="1:5" x14ac:dyDescent="0.3">
      <c r="A28" s="17" t="s">
        <v>27</v>
      </c>
      <c r="B28" s="18">
        <v>0.86799999999999999</v>
      </c>
      <c r="C28" s="18">
        <v>2</v>
      </c>
      <c r="D28" s="18">
        <v>1</v>
      </c>
      <c r="E28" s="18">
        <v>3</v>
      </c>
    </row>
    <row r="29" spans="1:5" x14ac:dyDescent="0.3">
      <c r="A29" s="19" t="s">
        <v>28</v>
      </c>
      <c r="B29" s="20" t="s">
        <v>30</v>
      </c>
      <c r="C29" s="20">
        <f>SUM(C26:C28)</f>
        <v>7</v>
      </c>
      <c r="D29" s="20">
        <f t="shared" ref="D29" si="8">SUM(D26:D28)</f>
        <v>3</v>
      </c>
      <c r="E29" s="20">
        <f t="shared" ref="E29" si="9">SUM(E26:E28)</f>
        <v>8</v>
      </c>
    </row>
    <row r="30" spans="1:5" x14ac:dyDescent="0.3">
      <c r="A30" s="19" t="s">
        <v>29</v>
      </c>
      <c r="B30" s="20" t="s">
        <v>30</v>
      </c>
      <c r="C30" s="20">
        <f>C26*$B26+C27*$B27+C28*$B28</f>
        <v>3.923</v>
      </c>
      <c r="D30" s="20">
        <f t="shared" ref="D30:E30" si="10">D26*$B26+D27*$B27+D28*$B28</f>
        <v>1.8729999999999998</v>
      </c>
      <c r="E30" s="20">
        <f t="shared" si="10"/>
        <v>5.4420000000000002</v>
      </c>
    </row>
    <row r="33" spans="1:5" x14ac:dyDescent="0.3">
      <c r="A33" s="17" t="s">
        <v>34</v>
      </c>
      <c r="B33" s="17" t="s">
        <v>26</v>
      </c>
      <c r="C33" s="17" t="s">
        <v>19</v>
      </c>
      <c r="D33" s="17" t="s">
        <v>20</v>
      </c>
      <c r="E33" s="17" t="s">
        <v>21</v>
      </c>
    </row>
    <row r="34" spans="1:5" x14ac:dyDescent="0.3">
      <c r="A34" s="17" t="s">
        <v>37</v>
      </c>
      <c r="B34" s="18">
        <v>0.91</v>
      </c>
      <c r="C34" s="18">
        <v>2</v>
      </c>
      <c r="D34" s="18">
        <v>1</v>
      </c>
      <c r="E34" s="18">
        <v>3</v>
      </c>
    </row>
    <row r="35" spans="1:5" x14ac:dyDescent="0.3">
      <c r="A35" s="17" t="s">
        <v>38</v>
      </c>
      <c r="B35" s="18">
        <v>0.57399999999999995</v>
      </c>
      <c r="C35" s="18">
        <v>3</v>
      </c>
      <c r="D35" s="18">
        <v>1</v>
      </c>
      <c r="E35" s="18">
        <v>2</v>
      </c>
    </row>
    <row r="36" spans="1:5" x14ac:dyDescent="0.3">
      <c r="A36" s="17" t="s">
        <v>27</v>
      </c>
      <c r="B36" s="18">
        <v>0.48099999999999998</v>
      </c>
      <c r="C36" s="18">
        <v>3</v>
      </c>
      <c r="D36" s="18">
        <v>1</v>
      </c>
      <c r="E36" s="18">
        <v>2</v>
      </c>
    </row>
    <row r="37" spans="1:5" x14ac:dyDescent="0.3">
      <c r="A37" s="19" t="s">
        <v>28</v>
      </c>
      <c r="B37" s="20" t="s">
        <v>30</v>
      </c>
      <c r="C37" s="20">
        <f>SUM(C34:C36)</f>
        <v>8</v>
      </c>
      <c r="D37" s="20">
        <f t="shared" ref="D37" si="11">SUM(D34:D36)</f>
        <v>3</v>
      </c>
      <c r="E37" s="20">
        <f t="shared" ref="E37" si="12">SUM(E34:E36)</f>
        <v>7</v>
      </c>
    </row>
    <row r="38" spans="1:5" x14ac:dyDescent="0.3">
      <c r="A38" s="19" t="s">
        <v>29</v>
      </c>
      <c r="B38" s="20" t="s">
        <v>30</v>
      </c>
      <c r="C38" s="20">
        <f>C34*$B34+C35*$B35+C36*$B36</f>
        <v>4.9849999999999994</v>
      </c>
      <c r="D38" s="20">
        <f t="shared" ref="D38:E38" si="13">D34*$B34+D35*$B35+D36*$B36</f>
        <v>1.9649999999999999</v>
      </c>
      <c r="E38" s="20">
        <f t="shared" si="13"/>
        <v>4.84</v>
      </c>
    </row>
    <row r="41" spans="1:5" x14ac:dyDescent="0.3">
      <c r="A41" s="17" t="s">
        <v>35</v>
      </c>
      <c r="B41" s="17" t="s">
        <v>26</v>
      </c>
      <c r="C41" s="17" t="s">
        <v>19</v>
      </c>
      <c r="D41" s="17" t="s">
        <v>20</v>
      </c>
      <c r="E41" s="17" t="s">
        <v>21</v>
      </c>
    </row>
    <row r="42" spans="1:5" x14ac:dyDescent="0.3">
      <c r="A42" s="17" t="s">
        <v>36</v>
      </c>
      <c r="B42" s="18">
        <v>0.96299999999999997</v>
      </c>
      <c r="C42" s="18">
        <v>2</v>
      </c>
      <c r="D42" s="18">
        <v>1</v>
      </c>
      <c r="E42" s="18">
        <v>3</v>
      </c>
    </row>
    <row r="43" spans="1:5" x14ac:dyDescent="0.3">
      <c r="A43" s="17" t="s">
        <v>37</v>
      </c>
      <c r="B43" s="18">
        <v>8.9999999999999993E-3</v>
      </c>
      <c r="C43" s="18">
        <v>3</v>
      </c>
      <c r="D43" s="18">
        <v>1</v>
      </c>
      <c r="E43" s="18">
        <v>2</v>
      </c>
    </row>
    <row r="44" spans="1:5" x14ac:dyDescent="0.3">
      <c r="A44" s="17" t="s">
        <v>38</v>
      </c>
      <c r="B44" s="18">
        <v>2.1999999999999999E-2</v>
      </c>
      <c r="C44" s="18">
        <v>3</v>
      </c>
      <c r="D44" s="18">
        <v>1</v>
      </c>
      <c r="E44" s="18">
        <v>2</v>
      </c>
    </row>
    <row r="45" spans="1:5" x14ac:dyDescent="0.3">
      <c r="A45" s="17" t="s">
        <v>39</v>
      </c>
      <c r="B45" s="18">
        <v>0.998</v>
      </c>
      <c r="C45" s="18">
        <v>3</v>
      </c>
      <c r="D45" s="18">
        <v>1</v>
      </c>
      <c r="E45" s="18">
        <v>2</v>
      </c>
    </row>
    <row r="46" spans="1:5" x14ac:dyDescent="0.3">
      <c r="A46" s="17" t="s">
        <v>27</v>
      </c>
      <c r="B46" s="18">
        <v>4.4999999999999998E-2</v>
      </c>
      <c r="C46" s="18">
        <v>1</v>
      </c>
      <c r="D46" s="18">
        <v>3</v>
      </c>
      <c r="E46" s="18">
        <v>2</v>
      </c>
    </row>
    <row r="47" spans="1:5" x14ac:dyDescent="0.3">
      <c r="A47" s="19" t="s">
        <v>28</v>
      </c>
      <c r="B47" s="20" t="s">
        <v>30</v>
      </c>
      <c r="C47" s="20">
        <f>SUM(C42:C46)</f>
        <v>12</v>
      </c>
      <c r="D47" s="20">
        <f>SUM(D42:D46)</f>
        <v>7</v>
      </c>
      <c r="E47" s="20">
        <f>SUM(E42:E46)</f>
        <v>11</v>
      </c>
    </row>
    <row r="48" spans="1:5" x14ac:dyDescent="0.3">
      <c r="A48" s="19" t="s">
        <v>29</v>
      </c>
      <c r="B48" s="20" t="s">
        <v>30</v>
      </c>
      <c r="C48" s="20">
        <f>C42*$B42+C43*$B43+C44*$B44+C45*$B45+C46*$B46</f>
        <v>5.0579999999999998</v>
      </c>
      <c r="D48" s="20">
        <f>D42*$B42+D43*$B43+D44*$B44+D45*$B45+D46*$B46</f>
        <v>2.1269999999999998</v>
      </c>
      <c r="E48" s="20">
        <f>E42*$B42+E43*$B43+E44*$B44+E45*$B45+E46*$B46</f>
        <v>5.036999999999999</v>
      </c>
    </row>
    <row r="50" spans="1:4" x14ac:dyDescent="0.3">
      <c r="A50" t="s">
        <v>40</v>
      </c>
      <c r="B50" t="s">
        <v>19</v>
      </c>
      <c r="C50" t="s">
        <v>20</v>
      </c>
      <c r="D50" t="s">
        <v>21</v>
      </c>
    </row>
    <row r="51" spans="1:4" x14ac:dyDescent="0.3">
      <c r="A51" t="s">
        <v>28</v>
      </c>
      <c r="B51">
        <f>C5+C13+C21+C29+C37+C47</f>
        <v>47</v>
      </c>
      <c r="C51">
        <f>D5+D13+D21+D29+D37+D47</f>
        <v>24</v>
      </c>
      <c r="D51">
        <f>E5+E13+E21+E29+E37+E47</f>
        <v>49</v>
      </c>
    </row>
    <row r="52" spans="1:4" x14ac:dyDescent="0.3">
      <c r="A52" t="s">
        <v>29</v>
      </c>
      <c r="B52">
        <f>C6+C14+C22+C30+C38+C48</f>
        <v>23.265999999999998</v>
      </c>
      <c r="C52">
        <f t="shared" ref="C52:D52" si="14">D6+D14+D22+D30+D38+D48</f>
        <v>12.937000000000001</v>
      </c>
      <c r="D52">
        <f t="shared" si="14"/>
        <v>28.914999999999999</v>
      </c>
    </row>
  </sheetData>
  <pageMargins left="0.7" right="0.7" top="0.75" bottom="0.75" header="0.3" footer="0.3"/>
  <pageSetup paperSize="9" orientation="portrait" horizontalDpi="4294967293" verticalDpi="0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Michail Angelos Tsiantakis</dc:creator>
  <cp:lastModifiedBy>Michail Angelos Tsiantakis</cp:lastModifiedBy>
  <dcterms:created xsi:type="dcterms:W3CDTF">2015-06-05T18:19:34Z</dcterms:created>
  <dcterms:modified xsi:type="dcterms:W3CDTF">2026-02-22T19:17:46Z</dcterms:modified>
</cp:coreProperties>
</file>